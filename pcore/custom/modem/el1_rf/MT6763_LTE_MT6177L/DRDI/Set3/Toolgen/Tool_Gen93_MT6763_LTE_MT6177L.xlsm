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<sst xmlns="http://schemas.openxmlformats.org/spreadsheetml/2006/main" count="8313" uniqueCount="1782">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</sst>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151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1763</v>
      </c>
      <c r="G12" s="233" t="s">
        <v>1763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1769</v>
      </c>
      <c r="M12" s="239" t="s">
        <v>1769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1764</v>
      </c>
      <c r="G18" s="233" t="s">
        <v>1764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1663</v>
      </c>
      <c r="C19" s="229" t="s">
        <v>1002</v>
      </c>
      <c r="D19" s="230" t="s">
        <v>51</v>
      </c>
      <c r="E19" s="231" t="s">
        <v>112</v>
      </c>
      <c r="F19" s="232" t="s">
        <v>1765</v>
      </c>
      <c r="G19" s="233" t="s">
        <v>1765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1766</v>
      </c>
      <c r="G21" s="233" t="s">
        <v>1766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1766</v>
      </c>
      <c r="M21" s="239" t="s">
        <v>1766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412</v>
      </c>
      <c r="C24" s="229" t="s">
        <v>1002</v>
      </c>
      <c r="D24" s="230" t="s">
        <v>100</v>
      </c>
      <c r="E24" s="231" t="s">
        <v>108</v>
      </c>
      <c r="F24" s="232" t="s">
        <v>381</v>
      </c>
      <c r="G24" s="233" t="s">
        <v>381</v>
      </c>
      <c r="H24" s="234" t="s">
        <v>1043</v>
      </c>
      <c r="I24" s="235" t="s">
        <v>1043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414</v>
      </c>
      <c r="C25" s="229" t="s">
        <v>1002</v>
      </c>
      <c r="D25" s="230" t="s">
        <v>105</v>
      </c>
      <c r="E25" s="231" t="s">
        <v>113</v>
      </c>
      <c r="F25" s="232" t="s">
        <v>1767</v>
      </c>
      <c r="G25" s="233" t="s">
        <v>1767</v>
      </c>
      <c r="H25" s="234" t="s">
        <v>1043</v>
      </c>
      <c r="I25" s="235" t="s">
        <v>1043</v>
      </c>
      <c r="J25" s="236" t="s">
        <v>13</v>
      </c>
      <c r="K25" s="237" t="s">
        <v>373</v>
      </c>
      <c r="L25" s="238" t="s">
        <v>1767</v>
      </c>
      <c r="M25" s="239" t="s">
        <v>1767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96</v>
      </c>
      <c r="C26" s="229" t="s">
        <v>1002</v>
      </c>
      <c r="D26" s="230" t="s">
        <v>141</v>
      </c>
      <c r="E26" s="231" t="s">
        <v>145</v>
      </c>
      <c r="F26" s="232" t="s">
        <v>11</v>
      </c>
      <c r="G26" s="233" t="s">
        <v>11</v>
      </c>
      <c r="H26" s="234" t="s">
        <v>1043</v>
      </c>
      <c r="I26" s="235" t="s">
        <v>1043</v>
      </c>
      <c r="J26" s="236" t="s">
        <v>13</v>
      </c>
      <c r="K26" s="237" t="s">
        <v>370</v>
      </c>
      <c r="L26" s="238" t="s">
        <v>1770</v>
      </c>
      <c r="M26" s="239" t="s">
        <v>1770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44</v>
      </c>
      <c r="C27" s="229" t="s">
        <v>1002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97</v>
      </c>
      <c r="C28" s="229" t="s">
        <v>1002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370</v>
      </c>
      <c r="L28" s="238" t="s">
        <v>1771</v>
      </c>
      <c r="M28" s="239" t="s">
        <v>1771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24</v>
      </c>
      <c r="C29" s="229" t="s">
        <v>1002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373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98</v>
      </c>
      <c r="C30" s="229" t="s">
        <v>1002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401</v>
      </c>
      <c r="C31" s="229" t="s">
        <v>1002</v>
      </c>
      <c r="D31" s="230" t="s">
        <v>143</v>
      </c>
      <c r="E31" s="231" t="s">
        <v>147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13</v>
      </c>
      <c r="K31" s="237" t="s">
        <v>370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1021</v>
      </c>
      <c r="C32" s="229" t="s">
        <v>1002</v>
      </c>
      <c r="D32" s="230" t="s">
        <v>100</v>
      </c>
      <c r="E32" s="231" t="s">
        <v>108</v>
      </c>
      <c r="F32" s="232" t="s">
        <v>1768</v>
      </c>
      <c r="G32" s="233" t="s">
        <v>1768</v>
      </c>
      <c r="H32" s="234" t="s">
        <v>1043</v>
      </c>
      <c r="I32" s="235" t="s">
        <v>1043</v>
      </c>
      <c r="J32" s="236" t="s">
        <v>13</v>
      </c>
      <c r="K32" s="237" t="s">
        <v>365</v>
      </c>
      <c r="L32" s="238" t="s">
        <v>1772</v>
      </c>
      <c r="M32" s="239" t="s">
        <v>1772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1768</v>
      </c>
      <c r="G33" s="233" t="s">
        <v>1768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1773</v>
      </c>
      <c r="F38" s="247" t="s">
        <v>1773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1773</v>
      </c>
      <c r="F39" s="247" t="s">
        <v>1773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1773</v>
      </c>
      <c r="E65" s="257" t="s">
        <v>1773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1773</v>
      </c>
      <c r="E66" s="257" t="s">
        <v>1773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rZ5lT0WsjCsY3resJSnOj1CxuOgPQfXelS8lfawDiYNMjvhmMP4jXaOtifw5vmXc48/fvLbyAtlP87pkr03rcw==" saltValue="yTv4slXFwL0XimTMQNl+M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15</v>
      </c>
      <c r="C4" s="417">
        <v>0</v>
      </c>
      <c r="D4" s="21">
        <v>1</v>
      </c>
      <c r="E4" s="262">
        <v>0</v>
      </c>
      <c r="F4" s="263">
        <v>0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0</v>
      </c>
      <c r="F5" s="263">
        <v>0</v>
      </c>
      <c r="G5" s="264" t="s">
        <v>16</v>
      </c>
      <c r="H5" s="266" t="s">
        <v>31</v>
      </c>
      <c r="I5" s="268" t="s">
        <v>32</v>
      </c>
      <c r="J5" s="270" t="s">
        <v>11</v>
      </c>
      <c r="K5" s="272" t="s">
        <v>11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sgEbvoQ/B9VvkMVa+L4JxNNR48HXM+tYBJVUr7PsV0SCcV2PYn8iweakWYx30UcuQ86F4+PchrTatXzH7SdNcQ==" saltValue="2cLwqhaK9VojKoJeor1OFA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woPff8TglyGi1iR+Vpq8paWw/pOV91uFAy+teJ8IOSlriQtrYnIEGchZ/U+uAMN/ssBWpNQIp77rDjtkoUZlyg==" saltValue="izmU8QPQtS8TxKjZ9SCJ7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yMpn7LCGscji/eDrgdmYyeXrhBgu/SJ3KfLckUOFRzQNQUmaVhmHgNSA64oZ5KHcVaqIAXuE72rGlP0CEJq+gQ==" saltValue="R6PG6nb1pUHXk1KOWhA8r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1774</v>
      </c>
    </row>
    <row r="13" spans="1:2">
      <c r="A13" s="8" t="s">
        <v>1633</v>
      </c>
      <c r="B13" s="295" t="s">
        <v>1775</v>
      </c>
    </row>
    <row r="14" spans="1:2">
      <c r="A14" s="8" t="s">
        <v>566</v>
      </c>
      <c r="B14" s="295" t="s">
        <v>1776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LTE_Band29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LTE_Band30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LTE_Band34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LTE_Band38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LTE_Band39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LTE_Band40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LTE_Band41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LTE_Band66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LTE_Band71</v>
      </c>
      <c r="C55" s="296" t="s">
        <v>566</v>
      </c>
      <c r="D55" s="298" t="s">
        <v>566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od4Nsq08cuBzwwzIPoTckimjvKbsyn9GLT4u0oF1DEOBYreANreLhL8EpTKRUPGZNkU+g9kolLzWy/FDZuyqjw==" saltValue="XAgp2GyZgi/oqoIX9qTnyg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2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3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1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1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1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1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1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1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1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1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1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1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1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1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1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1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LTE_Band29</v>
      </c>
      <c r="C70" s="348" t="b">
        <v>1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LTE_Band30</v>
      </c>
      <c r="C71" s="348" t="b">
        <v>1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LTE_Band34</v>
      </c>
      <c r="C72" s="348" t="b">
        <v>1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LTE_Band38</v>
      </c>
      <c r="C73" s="348" t="b">
        <v>1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LTE_Band39</v>
      </c>
      <c r="C74" s="348" t="b">
        <v>1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LTE_Band40</v>
      </c>
      <c r="C75" s="348" t="b">
        <v>1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LTE_Band41</v>
      </c>
      <c r="C76" s="348" t="b">
        <v>1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LTE_Band66</v>
      </c>
      <c r="C77" s="348" t="b">
        <v>1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LTE_Band71</v>
      </c>
      <c r="C78" s="348" t="b">
        <v>1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605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8ZTsxzRa8x0cWG8OIBxkoQjoLMHVkZVJIw039HoGBr4Sc7YHDtfnq8ChfPu+h7Y6Kgen/xtUfS+MkbTqCZ91XQ==" saltValue="t+fAPHCFFOKvPDr2k0CdZg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5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1651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1639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380</v>
      </c>
      <c r="O43" s="35" t="s">
        <v>182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380</v>
      </c>
      <c r="O44" s="35" t="s">
        <v>182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380</v>
      </c>
      <c r="O45" s="35" t="s">
        <v>182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380</v>
      </c>
      <c r="O46" s="35" t="s">
        <v>182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1657</v>
      </c>
      <c r="O49" s="35" t="s">
        <v>182</v>
      </c>
      <c r="P49" s="84" t="str">
        <f t="shared" si="0"/>
        <v>TRUE</v>
      </c>
      <c r="Q49" s="49"/>
      <c r="R49" s="90" t="s">
        <v>1658</v>
      </c>
      <c r="S49" s="90" t="s">
        <v>1746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1657</v>
      </c>
      <c r="O50" s="35" t="s">
        <v>182</v>
      </c>
      <c r="P50" s="84" t="str">
        <f t="shared" si="0"/>
        <v>TRUE</v>
      </c>
      <c r="Q50" s="49"/>
      <c r="R50" s="90" t="s">
        <v>1658</v>
      </c>
      <c r="S50" s="90" t="s">
        <v>1746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1657</v>
      </c>
      <c r="O51" s="35" t="s">
        <v>182</v>
      </c>
      <c r="P51" s="84" t="str">
        <f t="shared" si="0"/>
        <v>TRUE</v>
      </c>
      <c r="Q51" s="49"/>
      <c r="R51" s="90" t="s">
        <v>1757</v>
      </c>
      <c r="S51" s="90" t="s">
        <v>1746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1657</v>
      </c>
      <c r="O52" s="35" t="s">
        <v>182</v>
      </c>
      <c r="P52" s="84" t="str">
        <f t="shared" si="0"/>
        <v>TRUE</v>
      </c>
      <c r="Q52" s="49"/>
      <c r="R52" s="90" t="s">
        <v>1757</v>
      </c>
      <c r="S52" s="90" t="s">
        <v>1746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1759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1760</v>
      </c>
      <c r="K53" s="48" t="s">
        <v>15</v>
      </c>
      <c r="L53" s="163"/>
      <c r="M53" s="85" t="s">
        <v>293</v>
      </c>
      <c r="N53" s="83" t="s">
        <v>1657</v>
      </c>
      <c r="O53" s="35" t="s">
        <v>182</v>
      </c>
      <c r="P53" s="84" t="str">
        <f t="shared" si="0"/>
        <v>TRUE</v>
      </c>
      <c r="Q53" s="49"/>
      <c r="R53" s="90" t="s">
        <v>1658</v>
      </c>
      <c r="S53" s="90" t="s">
        <v>1746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1759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1657</v>
      </c>
      <c r="O54" s="35" t="s">
        <v>182</v>
      </c>
      <c r="P54" s="84" t="str">
        <f t="shared" si="0"/>
        <v>TRUE</v>
      </c>
      <c r="Q54" s="49"/>
      <c r="R54" s="90" t="s">
        <v>1658</v>
      </c>
      <c r="S54" s="90" t="s">
        <v>1746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1657</v>
      </c>
      <c r="O55" s="35" t="s">
        <v>182</v>
      </c>
      <c r="P55" s="84" t="str">
        <f t="shared" si="0"/>
        <v>TRUE</v>
      </c>
      <c r="Q55" s="49"/>
      <c r="R55" s="90" t="s">
        <v>1757</v>
      </c>
      <c r="S55" s="90" t="s">
        <v>1746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1657</v>
      </c>
      <c r="O56" s="35" t="s">
        <v>182</v>
      </c>
      <c r="P56" s="84" t="str">
        <f t="shared" si="0"/>
        <v>TRUE</v>
      </c>
      <c r="Q56" s="49"/>
      <c r="R56" s="90" t="s">
        <v>1757</v>
      </c>
      <c r="S56" s="90" t="s">
        <v>1746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1657</v>
      </c>
      <c r="O57" s="35" t="s">
        <v>182</v>
      </c>
      <c r="P57" s="84" t="str">
        <f t="shared" si="0"/>
        <v>TRUE</v>
      </c>
      <c r="Q57" s="49"/>
      <c r="R57" s="90" t="s">
        <v>1757</v>
      </c>
      <c r="S57" s="90" t="s">
        <v>1746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1657</v>
      </c>
      <c r="O58" s="35" t="s">
        <v>182</v>
      </c>
      <c r="P58" s="84" t="str">
        <f t="shared" si="0"/>
        <v>TRUE</v>
      </c>
      <c r="Q58" s="49"/>
      <c r="R58" s="90" t="s">
        <v>1757</v>
      </c>
      <c r="S58" s="90" t="s">
        <v>1746</v>
      </c>
      <c r="T58" s="90"/>
    </row>
    <row r="59" spans="1:20" s="36" customFormat="1">
      <c r="A59" s="43" t="s">
        <v>1661</v>
      </c>
      <c r="B59" s="43" t="s">
        <v>310</v>
      </c>
      <c r="C59" s="48" t="s">
        <v>84</v>
      </c>
      <c r="D59" s="126" t="s">
        <v>1012</v>
      </c>
      <c r="E59" s="48" t="s">
        <v>1663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1661</v>
      </c>
      <c r="B60" s="43" t="s">
        <v>1662</v>
      </c>
      <c r="C60" s="48" t="s">
        <v>84</v>
      </c>
      <c r="D60" s="126" t="s">
        <v>1012</v>
      </c>
      <c r="E60" s="48" t="s">
        <v>1663</v>
      </c>
      <c r="F60" s="126" t="s">
        <v>1012</v>
      </c>
      <c r="G60" s="48" t="s">
        <v>15</v>
      </c>
      <c r="H60" s="163"/>
      <c r="I60" s="48" t="s">
        <v>1663</v>
      </c>
      <c r="J60" s="126" t="s">
        <v>1012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1657</v>
      </c>
      <c r="O61" s="35" t="s">
        <v>182</v>
      </c>
      <c r="P61" s="84" t="str">
        <f t="shared" si="0"/>
        <v>TRUE</v>
      </c>
      <c r="Q61" s="49"/>
      <c r="R61" s="90" t="s">
        <v>1757</v>
      </c>
      <c r="S61" s="90" t="s">
        <v>1746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1657</v>
      </c>
      <c r="O62" s="35" t="s">
        <v>182</v>
      </c>
      <c r="P62" s="84" t="str">
        <f t="shared" si="0"/>
        <v>TRUE</v>
      </c>
      <c r="Q62" s="49"/>
      <c r="R62" s="90" t="s">
        <v>1757</v>
      </c>
      <c r="S62" s="90" t="s">
        <v>1746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 t="s">
        <v>1757</v>
      </c>
      <c r="S63" s="90" t="s">
        <v>1746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 t="s">
        <v>1757</v>
      </c>
      <c r="S64" s="90" t="s">
        <v>1746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1657</v>
      </c>
      <c r="O65" s="35" t="s">
        <v>182</v>
      </c>
      <c r="P65" s="84" t="str">
        <f t="shared" si="0"/>
        <v>TRUE</v>
      </c>
      <c r="Q65" s="49"/>
      <c r="R65" s="90" t="s">
        <v>1757</v>
      </c>
      <c r="S65" s="90" t="s">
        <v>1746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1759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1760</v>
      </c>
      <c r="K66" s="48" t="s">
        <v>15</v>
      </c>
      <c r="L66" s="163"/>
      <c r="M66" s="85" t="s">
        <v>293</v>
      </c>
      <c r="N66" s="83" t="s">
        <v>1657</v>
      </c>
      <c r="O66" s="35" t="s">
        <v>182</v>
      </c>
      <c r="P66" s="84" t="str">
        <f t="shared" si="0"/>
        <v>TRUE</v>
      </c>
      <c r="Q66" s="49"/>
      <c r="R66" s="90" t="s">
        <v>1658</v>
      </c>
      <c r="S66" s="90" t="s">
        <v>1746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1759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1657</v>
      </c>
      <c r="O67" s="35" t="s">
        <v>182</v>
      </c>
      <c r="P67" s="84" t="str">
        <f t="shared" si="0"/>
        <v>TRUE</v>
      </c>
      <c r="Q67" s="49"/>
      <c r="R67" s="90" t="s">
        <v>1658</v>
      </c>
      <c r="S67" s="90" t="s">
        <v>1746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1657</v>
      </c>
      <c r="O68" s="35" t="s">
        <v>182</v>
      </c>
      <c r="P68" s="84" t="str">
        <f t="shared" si="0"/>
        <v>TRUE</v>
      </c>
      <c r="Q68" s="49"/>
      <c r="R68" s="90" t="s">
        <v>1658</v>
      </c>
      <c r="S68" s="90" t="s">
        <v>1746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1657</v>
      </c>
      <c r="O69" s="35" t="s">
        <v>182</v>
      </c>
      <c r="P69" s="84" t="str">
        <f t="shared" si="0"/>
        <v>TRUE</v>
      </c>
      <c r="Q69" s="49"/>
      <c r="R69" s="90" t="s">
        <v>1658</v>
      </c>
      <c r="S69" s="90" t="s">
        <v>1746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293</v>
      </c>
      <c r="N70" s="83" t="s">
        <v>1657</v>
      </c>
      <c r="O70" s="35" t="s">
        <v>182</v>
      </c>
      <c r="P70" s="84" t="str">
        <f t="shared" si="0"/>
        <v>TRUE</v>
      </c>
      <c r="Q70" s="49"/>
      <c r="R70" s="90" t="s">
        <v>1757</v>
      </c>
      <c r="S70" s="90" t="s">
        <v>1746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293</v>
      </c>
      <c r="N71" s="83" t="s">
        <v>1657</v>
      </c>
      <c r="O71" s="35" t="s">
        <v>182</v>
      </c>
      <c r="P71" s="84" t="str">
        <f t="shared" si="0"/>
        <v>TRUE</v>
      </c>
      <c r="Q71" s="49"/>
      <c r="R71" s="90" t="s">
        <v>1757</v>
      </c>
      <c r="S71" s="90" t="s">
        <v>1746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1657</v>
      </c>
      <c r="O74" s="35" t="s">
        <v>182</v>
      </c>
      <c r="P74" s="84" t="str">
        <f t="shared" si="0"/>
        <v>TRUE</v>
      </c>
      <c r="Q74" s="49"/>
      <c r="R74" s="90" t="s">
        <v>1658</v>
      </c>
      <c r="S74" s="90" t="s">
        <v>1746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1657</v>
      </c>
      <c r="O75" s="35" t="s">
        <v>182</v>
      </c>
      <c r="P75" s="84" t="str">
        <f t="shared" si="0"/>
        <v>TRUE</v>
      </c>
      <c r="Q75" s="49"/>
      <c r="R75" s="90" t="s">
        <v>1658</v>
      </c>
      <c r="S75" s="90" t="s">
        <v>1746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1748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1748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1749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1749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380</v>
      </c>
      <c r="O88" s="35" t="s">
        <v>182</v>
      </c>
      <c r="P88" s="84" t="str">
        <f t="shared" si="0"/>
        <v>FALSE</v>
      </c>
      <c r="Q88" s="49"/>
      <c r="R88" s="90" t="s">
        <v>1757</v>
      </c>
      <c r="S88" s="90" t="s">
        <v>1746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380</v>
      </c>
      <c r="O89" s="35" t="s">
        <v>182</v>
      </c>
      <c r="P89" s="84" t="str">
        <f t="shared" si="0"/>
        <v>FALSE</v>
      </c>
      <c r="Q89" s="49"/>
      <c r="R89" s="90" t="s">
        <v>1757</v>
      </c>
      <c r="S89" s="90" t="s">
        <v>1746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380</v>
      </c>
      <c r="O95" s="35" t="s">
        <v>182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380</v>
      </c>
      <c r="O96" s="35" t="s">
        <v>182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1657</v>
      </c>
      <c r="O99" s="35" t="s">
        <v>182</v>
      </c>
      <c r="P99" s="84" t="str">
        <f t="shared" si="5"/>
        <v>TRUE</v>
      </c>
      <c r="Q99" s="49"/>
      <c r="R99" s="90" t="s">
        <v>1757</v>
      </c>
      <c r="S99" s="90" t="s">
        <v>1746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1657</v>
      </c>
      <c r="O100" s="35" t="s">
        <v>182</v>
      </c>
      <c r="P100" s="84" t="str">
        <f t="shared" si="5"/>
        <v>TRUE</v>
      </c>
      <c r="Q100" s="49"/>
      <c r="R100" s="90" t="s">
        <v>1757</v>
      </c>
      <c r="S100" s="90" t="s">
        <v>1746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1657</v>
      </c>
      <c r="O101" s="35" t="s">
        <v>182</v>
      </c>
      <c r="P101" s="84" t="str">
        <f t="shared" si="5"/>
        <v>TRUE</v>
      </c>
      <c r="Q101" s="49"/>
      <c r="R101" s="90" t="s">
        <v>1658</v>
      </c>
      <c r="S101" s="90" t="s">
        <v>1746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1657</v>
      </c>
      <c r="O102" s="35" t="s">
        <v>182</v>
      </c>
      <c r="P102" s="84" t="str">
        <f t="shared" si="5"/>
        <v>TRUE</v>
      </c>
      <c r="Q102" s="49"/>
      <c r="R102" s="90" t="s">
        <v>1658</v>
      </c>
      <c r="S102" s="90" t="s">
        <v>1746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1660</v>
      </c>
      <c r="N103" s="83" t="s">
        <v>1657</v>
      </c>
      <c r="O103" s="35" t="s">
        <v>182</v>
      </c>
      <c r="P103" s="84" t="str">
        <f t="shared" si="5"/>
        <v>TRUE</v>
      </c>
      <c r="Q103" s="49"/>
      <c r="R103" s="90" t="s">
        <v>1757</v>
      </c>
      <c r="S103" s="90" t="s">
        <v>1746</v>
      </c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1660</v>
      </c>
      <c r="N104" s="83" t="s">
        <v>1657</v>
      </c>
      <c r="O104" s="35" t="s">
        <v>182</v>
      </c>
      <c r="P104" s="84" t="str">
        <f t="shared" si="5"/>
        <v>TRUE</v>
      </c>
      <c r="Q104" s="49"/>
      <c r="R104" s="90" t="s">
        <v>1757</v>
      </c>
      <c r="S104" s="90" t="s">
        <v>1746</v>
      </c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1657</v>
      </c>
      <c r="O105" s="35" t="s">
        <v>182</v>
      </c>
      <c r="P105" s="84" t="str">
        <f t="shared" si="5"/>
        <v>TRUE</v>
      </c>
      <c r="Q105" s="49"/>
      <c r="R105" s="90" t="s">
        <v>1757</v>
      </c>
      <c r="S105" s="90" t="s">
        <v>1746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1657</v>
      </c>
      <c r="O106" s="35" t="s">
        <v>182</v>
      </c>
      <c r="P106" s="84" t="str">
        <f t="shared" si="5"/>
        <v>TRUE</v>
      </c>
      <c r="Q106" s="49"/>
      <c r="R106" s="90" t="s">
        <v>1757</v>
      </c>
      <c r="S106" s="90" t="s">
        <v>1746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1657</v>
      </c>
      <c r="O107" s="35" t="s">
        <v>182</v>
      </c>
      <c r="P107" s="84" t="str">
        <f t="shared" si="5"/>
        <v>TRUE</v>
      </c>
      <c r="Q107" s="49"/>
      <c r="R107" s="90" t="s">
        <v>1757</v>
      </c>
      <c r="S107" s="90" t="s">
        <v>1746</v>
      </c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1657</v>
      </c>
      <c r="O108" s="35" t="s">
        <v>182</v>
      </c>
      <c r="P108" s="84" t="str">
        <f t="shared" si="5"/>
        <v>TRUE</v>
      </c>
      <c r="Q108" s="49"/>
      <c r="R108" s="90" t="s">
        <v>1757</v>
      </c>
      <c r="S108" s="90" t="s">
        <v>1746</v>
      </c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 t="s">
        <v>1757</v>
      </c>
      <c r="S109" s="90" t="s">
        <v>1746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 t="s">
        <v>1757</v>
      </c>
      <c r="S110" s="90" t="s">
        <v>1746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1657</v>
      </c>
      <c r="O111" s="35" t="s">
        <v>182</v>
      </c>
      <c r="P111" s="84" t="str">
        <f t="shared" si="5"/>
        <v>TRUE</v>
      </c>
      <c r="Q111" s="49"/>
      <c r="R111" s="90" t="s">
        <v>1757</v>
      </c>
      <c r="S111" s="90" t="s">
        <v>1746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1657</v>
      </c>
      <c r="O112" s="35" t="s">
        <v>182</v>
      </c>
      <c r="P112" s="84" t="str">
        <f t="shared" si="5"/>
        <v>TRUE</v>
      </c>
      <c r="Q112" s="49"/>
      <c r="R112" s="90" t="s">
        <v>1658</v>
      </c>
      <c r="S112" s="90" t="s">
        <v>1746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1657</v>
      </c>
      <c r="O113" s="35" t="s">
        <v>182</v>
      </c>
      <c r="P113" s="84" t="str">
        <f t="shared" si="5"/>
        <v>TRUE</v>
      </c>
      <c r="Q113" s="49"/>
      <c r="R113" s="90" t="s">
        <v>1658</v>
      </c>
      <c r="S113" s="90" t="s">
        <v>1746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293</v>
      </c>
      <c r="N114" s="83" t="s">
        <v>1657</v>
      </c>
      <c r="O114" s="35" t="s">
        <v>182</v>
      </c>
      <c r="P114" s="84" t="str">
        <f t="shared" si="5"/>
        <v>TRUE</v>
      </c>
      <c r="Q114" s="49"/>
      <c r="R114" s="90" t="s">
        <v>1658</v>
      </c>
      <c r="S114" s="90" t="s">
        <v>1746</v>
      </c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293</v>
      </c>
      <c r="N115" s="83" t="s">
        <v>1657</v>
      </c>
      <c r="O115" s="35" t="s">
        <v>182</v>
      </c>
      <c r="P115" s="84" t="str">
        <f t="shared" si="5"/>
        <v>TRUE</v>
      </c>
      <c r="Q115" s="49"/>
      <c r="R115" s="90" t="s">
        <v>1658</v>
      </c>
      <c r="S115" s="90" t="s">
        <v>1746</v>
      </c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293</v>
      </c>
      <c r="N116" s="83" t="s">
        <v>1657</v>
      </c>
      <c r="O116" s="35" t="s">
        <v>182</v>
      </c>
      <c r="P116" s="84" t="str">
        <f t="shared" si="5"/>
        <v>TRUE</v>
      </c>
      <c r="Q116" s="49"/>
      <c r="R116" s="90" t="s">
        <v>1757</v>
      </c>
      <c r="S116" s="90" t="s">
        <v>1746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293</v>
      </c>
      <c r="N117" s="83" t="s">
        <v>1657</v>
      </c>
      <c r="O117" s="35" t="s">
        <v>182</v>
      </c>
      <c r="P117" s="84" t="str">
        <f t="shared" si="5"/>
        <v>TRUE</v>
      </c>
      <c r="Q117" s="49"/>
      <c r="R117" s="90" t="s">
        <v>1757</v>
      </c>
      <c r="S117" s="90" t="s">
        <v>1746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1659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1659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1657</v>
      </c>
      <c r="O124" s="35" t="s">
        <v>182</v>
      </c>
      <c r="P124" s="84" t="str">
        <f t="shared" si="5"/>
        <v>TRUE</v>
      </c>
      <c r="Q124" s="49"/>
      <c r="R124" s="90" t="s">
        <v>1758</v>
      </c>
      <c r="S124" s="90" t="s">
        <v>1746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1657</v>
      </c>
      <c r="O125" s="35" t="s">
        <v>182</v>
      </c>
      <c r="P125" s="84" t="str">
        <f t="shared" si="5"/>
        <v>TRUE</v>
      </c>
      <c r="Q125" s="49"/>
      <c r="R125" s="90" t="s">
        <v>1758</v>
      </c>
      <c r="S125" s="90" t="s">
        <v>1746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1657</v>
      </c>
      <c r="O128" s="35" t="s">
        <v>182</v>
      </c>
      <c r="P128" s="84" t="str">
        <f t="shared" si="5"/>
        <v>TRUE</v>
      </c>
      <c r="Q128" s="49"/>
      <c r="R128" s="90" t="s">
        <v>1758</v>
      </c>
      <c r="S128" s="90" t="s">
        <v>1746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1657</v>
      </c>
      <c r="O129" s="35" t="s">
        <v>182</v>
      </c>
      <c r="P129" s="84" t="str">
        <f t="shared" si="5"/>
        <v>TRUE</v>
      </c>
      <c r="Q129" s="49"/>
      <c r="R129" s="90" t="s">
        <v>1758</v>
      </c>
      <c r="S129" s="90" t="s">
        <v>1746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380</v>
      </c>
      <c r="O136" s="35" t="s">
        <v>182</v>
      </c>
      <c r="P136" s="84" t="str">
        <f t="shared" si="5"/>
        <v>FALSE</v>
      </c>
      <c r="Q136" s="49"/>
      <c r="R136" s="90" t="s">
        <v>1757</v>
      </c>
      <c r="S136" s="90" t="s">
        <v>1746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380</v>
      </c>
      <c r="O137" s="35" t="s">
        <v>182</v>
      </c>
      <c r="P137" s="84" t="str">
        <f t="shared" si="5"/>
        <v>FALSE</v>
      </c>
      <c r="Q137" s="49"/>
      <c r="R137" s="90" t="s">
        <v>1757</v>
      </c>
      <c r="S137" s="90" t="s">
        <v>1746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1659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1659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1657</v>
      </c>
      <c r="O145" s="35" t="s">
        <v>182</v>
      </c>
      <c r="P145" s="84" t="str">
        <f t="shared" si="5"/>
        <v>TRUE</v>
      </c>
      <c r="Q145" s="49"/>
      <c r="R145" s="90" t="s">
        <v>1658</v>
      </c>
      <c r="S145" s="90" t="s">
        <v>1746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1657</v>
      </c>
      <c r="O146" s="35" t="s">
        <v>182</v>
      </c>
      <c r="P146" s="84" t="str">
        <f t="shared" si="5"/>
        <v>TRUE</v>
      </c>
      <c r="Q146" s="49"/>
      <c r="R146" s="90" t="s">
        <v>1658</v>
      </c>
      <c r="S146" s="90" t="s">
        <v>1746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380</v>
      </c>
      <c r="O157" s="35" t="s">
        <v>182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380</v>
      </c>
      <c r="O158" s="35" t="s">
        <v>182</v>
      </c>
      <c r="P158" s="84" t="str">
        <f t="shared" si="5"/>
        <v>FALSE</v>
      </c>
      <c r="Q158" s="49"/>
      <c r="R158" s="90"/>
      <c r="S158" s="90"/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1751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1751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1752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1752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1753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1753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1657</v>
      </c>
      <c r="O171" s="35" t="s">
        <v>182</v>
      </c>
      <c r="P171" s="84" t="str">
        <f t="shared" si="5"/>
        <v>TRUE</v>
      </c>
      <c r="Q171" s="49"/>
      <c r="R171" s="90" t="s">
        <v>1758</v>
      </c>
      <c r="S171" s="90" t="s">
        <v>1746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1657</v>
      </c>
      <c r="O172" s="35" t="s">
        <v>182</v>
      </c>
      <c r="P172" s="84" t="str">
        <f t="shared" si="5"/>
        <v>TRUE</v>
      </c>
      <c r="Q172" s="49"/>
      <c r="R172" s="90" t="s">
        <v>1758</v>
      </c>
      <c r="S172" s="90" t="s">
        <v>1746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1660</v>
      </c>
      <c r="N173" s="83" t="s">
        <v>1657</v>
      </c>
      <c r="O173" s="35" t="s">
        <v>182</v>
      </c>
      <c r="P173" s="84" t="str">
        <f t="shared" si="5"/>
        <v>TRUE</v>
      </c>
      <c r="Q173" s="49"/>
      <c r="R173" s="90" t="s">
        <v>1758</v>
      </c>
      <c r="S173" s="90" t="s">
        <v>1746</v>
      </c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1660</v>
      </c>
      <c r="N174" s="83" t="s">
        <v>1657</v>
      </c>
      <c r="O174" s="35" t="s">
        <v>182</v>
      </c>
      <c r="P174" s="84" t="str">
        <f t="shared" ref="P174:P229" si="12">N174</f>
        <v>TRUE</v>
      </c>
      <c r="Q174" s="49"/>
      <c r="R174" s="90" t="s">
        <v>1758</v>
      </c>
      <c r="S174" s="90" t="s">
        <v>1746</v>
      </c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1657</v>
      </c>
      <c r="O175" s="35" t="s">
        <v>182</v>
      </c>
      <c r="P175" s="84" t="str">
        <f t="shared" si="12"/>
        <v>TRUE</v>
      </c>
      <c r="Q175" s="49"/>
      <c r="R175" s="90" t="s">
        <v>1758</v>
      </c>
      <c r="S175" s="90" t="s">
        <v>1746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1657</v>
      </c>
      <c r="O176" s="35" t="s">
        <v>182</v>
      </c>
      <c r="P176" s="84" t="str">
        <f t="shared" si="12"/>
        <v>TRUE</v>
      </c>
      <c r="Q176" s="49"/>
      <c r="R176" s="90" t="s">
        <v>1758</v>
      </c>
      <c r="S176" s="90" t="s">
        <v>1746</v>
      </c>
      <c r="T176" s="90"/>
    </row>
    <row r="177" spans="1:20" s="389" customFormat="1">
      <c r="A177" s="43" t="s">
        <v>1664</v>
      </c>
      <c r="B177" s="43" t="s">
        <v>1662</v>
      </c>
      <c r="C177" s="48" t="s">
        <v>1663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1663</v>
      </c>
      <c r="J177" s="126" t="s">
        <v>1012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1664</v>
      </c>
      <c r="B178" s="43" t="s">
        <v>415</v>
      </c>
      <c r="C178" s="48" t="s">
        <v>1663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1665</v>
      </c>
      <c r="B179" s="43" t="s">
        <v>1662</v>
      </c>
      <c r="C179" s="48" t="s">
        <v>1663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1663</v>
      </c>
      <c r="J179" s="126" t="s">
        <v>1012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1665</v>
      </c>
      <c r="B180" s="43" t="s">
        <v>400</v>
      </c>
      <c r="C180" s="48" t="s">
        <v>1663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1754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1754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1761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1762</v>
      </c>
      <c r="K198" s="48" t="s">
        <v>15</v>
      </c>
      <c r="L198" s="163"/>
      <c r="M198" s="85" t="s">
        <v>293</v>
      </c>
      <c r="N198" s="83" t="s">
        <v>1657</v>
      </c>
      <c r="O198" s="35" t="s">
        <v>182</v>
      </c>
      <c r="P198" s="84" t="str">
        <f t="shared" si="12"/>
        <v>TRUE</v>
      </c>
      <c r="Q198" s="49"/>
      <c r="R198" s="90" t="s">
        <v>1658</v>
      </c>
      <c r="S198" s="90" t="s">
        <v>1746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1761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1657</v>
      </c>
      <c r="O199" s="35" t="s">
        <v>182</v>
      </c>
      <c r="P199" s="84" t="str">
        <f t="shared" si="12"/>
        <v>TRUE</v>
      </c>
      <c r="Q199" s="49"/>
      <c r="R199" s="90" t="s">
        <v>1658</v>
      </c>
      <c r="S199" s="90" t="s">
        <v>1746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1657</v>
      </c>
      <c r="O200" s="35" t="s">
        <v>182</v>
      </c>
      <c r="P200" s="84" t="str">
        <f t="shared" si="12"/>
        <v>TRUE</v>
      </c>
      <c r="Q200" s="49"/>
      <c r="R200" s="90" t="s">
        <v>1757</v>
      </c>
      <c r="S200" s="90" t="s">
        <v>1746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1657</v>
      </c>
      <c r="O201" s="35" t="s">
        <v>182</v>
      </c>
      <c r="P201" s="84" t="str">
        <f t="shared" si="12"/>
        <v>TRUE</v>
      </c>
      <c r="Q201" s="49"/>
      <c r="R201" s="90" t="s">
        <v>1757</v>
      </c>
      <c r="S201" s="90" t="s">
        <v>1746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1659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1659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1657</v>
      </c>
      <c r="O204" s="35" t="s">
        <v>182</v>
      </c>
      <c r="P204" s="84" t="str">
        <f t="shared" ref="P204:P205" si="16">N204</f>
        <v>TRUE</v>
      </c>
      <c r="Q204" s="49"/>
      <c r="R204" s="90" t="s">
        <v>1758</v>
      </c>
      <c r="S204" s="90" t="s">
        <v>1746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1657</v>
      </c>
      <c r="O205" s="35" t="s">
        <v>182</v>
      </c>
      <c r="P205" s="84" t="str">
        <f t="shared" si="16"/>
        <v>TRUE</v>
      </c>
      <c r="Q205" s="49"/>
      <c r="R205" s="90" t="s">
        <v>1758</v>
      </c>
      <c r="S205" s="90" t="s">
        <v>1746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1781</v>
      </c>
      <c r="B208" s="43" t="s">
        <v>303</v>
      </c>
      <c r="C208" s="48" t="s">
        <v>27</v>
      </c>
      <c r="D208" s="126" t="s">
        <v>1012</v>
      </c>
      <c r="E208" s="48" t="s">
        <v>24</v>
      </c>
      <c r="F208" s="126" t="s">
        <v>1012</v>
      </c>
      <c r="G208" s="48" t="s">
        <v>15</v>
      </c>
      <c r="H208" s="163"/>
      <c r="I208" s="48" t="s">
        <v>27</v>
      </c>
      <c r="J208" s="126" t="s">
        <v>1012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1781</v>
      </c>
      <c r="B209" s="43" t="s">
        <v>189</v>
      </c>
      <c r="C209" s="48" t="s">
        <v>27</v>
      </c>
      <c r="D209" s="126" t="s">
        <v>1012</v>
      </c>
      <c r="E209" s="48" t="s">
        <v>24</v>
      </c>
      <c r="F209" s="126" t="s">
        <v>1012</v>
      </c>
      <c r="G209" s="48" t="s">
        <v>15</v>
      </c>
      <c r="H209" s="163"/>
      <c r="I209" s="48" t="s">
        <v>24</v>
      </c>
      <c r="J209" s="126" t="s">
        <v>1012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1685</v>
      </c>
      <c r="B210" s="43" t="s">
        <v>303</v>
      </c>
      <c r="C210" s="48" t="s">
        <v>27</v>
      </c>
      <c r="D210" s="126" t="s">
        <v>1012</v>
      </c>
      <c r="E210" s="48" t="s">
        <v>98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1685</v>
      </c>
      <c r="B211" s="43" t="s">
        <v>186</v>
      </c>
      <c r="C211" s="48" t="s">
        <v>27</v>
      </c>
      <c r="D211" s="126" t="s">
        <v>1012</v>
      </c>
      <c r="E211" s="48" t="s">
        <v>98</v>
      </c>
      <c r="F211" s="126" t="s">
        <v>1012</v>
      </c>
      <c r="G211" s="48" t="s">
        <v>201</v>
      </c>
      <c r="H211" s="163"/>
      <c r="I211" s="48" t="s">
        <v>98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392</v>
      </c>
      <c r="B212" s="43" t="s">
        <v>303</v>
      </c>
      <c r="C212" s="48" t="s">
        <v>27</v>
      </c>
      <c r="D212" s="126" t="s">
        <v>1012</v>
      </c>
      <c r="E212" s="48" t="s">
        <v>99</v>
      </c>
      <c r="F212" s="126" t="s">
        <v>1012</v>
      </c>
      <c r="G212" s="48" t="s">
        <v>201</v>
      </c>
      <c r="H212" s="163"/>
      <c r="I212" s="48" t="s">
        <v>27</v>
      </c>
      <c r="J212" s="126" t="s">
        <v>1012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 t="s">
        <v>1658</v>
      </c>
      <c r="S212" s="90" t="s">
        <v>1746</v>
      </c>
      <c r="T212" s="90"/>
    </row>
    <row r="213" spans="1:20" customFormat="1">
      <c r="A213" s="43" t="s">
        <v>392</v>
      </c>
      <c r="B213" s="43" t="s">
        <v>341</v>
      </c>
      <c r="C213" s="48" t="s">
        <v>27</v>
      </c>
      <c r="D213" s="126" t="s">
        <v>1012</v>
      </c>
      <c r="E213" s="48" t="s">
        <v>99</v>
      </c>
      <c r="F213" s="126" t="s">
        <v>1012</v>
      </c>
      <c r="G213" s="48" t="s">
        <v>201</v>
      </c>
      <c r="H213" s="163"/>
      <c r="I213" s="48" t="s">
        <v>99</v>
      </c>
      <c r="J213" s="126" t="s">
        <v>1012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 t="s">
        <v>1658</v>
      </c>
      <c r="S213" s="90" t="s">
        <v>1746</v>
      </c>
      <c r="T213" s="90"/>
    </row>
    <row r="214" spans="1:20" customFormat="1">
      <c r="A214" s="43" t="s">
        <v>428</v>
      </c>
      <c r="B214" s="43" t="s">
        <v>415</v>
      </c>
      <c r="C214" s="48" t="s">
        <v>412</v>
      </c>
      <c r="D214" s="126" t="s">
        <v>1012</v>
      </c>
      <c r="E214" s="48" t="s">
        <v>414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1657</v>
      </c>
      <c r="O214" s="35" t="s">
        <v>182</v>
      </c>
      <c r="P214" s="84" t="str">
        <f t="shared" si="12"/>
        <v>TRUE</v>
      </c>
      <c r="Q214" s="49"/>
      <c r="R214" s="90" t="s">
        <v>1758</v>
      </c>
      <c r="S214" s="90" t="s">
        <v>1746</v>
      </c>
      <c r="T214" s="90"/>
    </row>
    <row r="215" spans="1:20" customFormat="1">
      <c r="A215" s="43" t="s">
        <v>1033</v>
      </c>
      <c r="B215" s="43" t="s">
        <v>1035</v>
      </c>
      <c r="C215" s="48" t="s">
        <v>412</v>
      </c>
      <c r="D215" s="126" t="s">
        <v>1012</v>
      </c>
      <c r="E215" s="48" t="s">
        <v>1034</v>
      </c>
      <c r="F215" s="126" t="s">
        <v>1012</v>
      </c>
      <c r="G215" s="48" t="s">
        <v>15</v>
      </c>
      <c r="H215" s="163"/>
      <c r="I215" s="48" t="s">
        <v>1034</v>
      </c>
      <c r="J215" s="126" t="s">
        <v>1012</v>
      </c>
      <c r="K215" s="48" t="s">
        <v>15</v>
      </c>
      <c r="L215" s="163"/>
      <c r="M215" s="85" t="s">
        <v>293</v>
      </c>
      <c r="N215" s="83" t="s">
        <v>1657</v>
      </c>
      <c r="O215" s="35" t="s">
        <v>182</v>
      </c>
      <c r="P215" s="84" t="str">
        <f t="shared" si="12"/>
        <v>TRUE</v>
      </c>
      <c r="Q215" s="49"/>
      <c r="R215" s="90" t="s">
        <v>1758</v>
      </c>
      <c r="S215" s="90" t="s">
        <v>1746</v>
      </c>
      <c r="T215" s="90"/>
    </row>
    <row r="216" spans="1:20" customFormat="1">
      <c r="A216" s="43" t="s">
        <v>429</v>
      </c>
      <c r="B216" s="43" t="s">
        <v>415</v>
      </c>
      <c r="C216" s="48" t="s">
        <v>414</v>
      </c>
      <c r="D216" s="126" t="s">
        <v>1012</v>
      </c>
      <c r="E216" s="48" t="s">
        <v>401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1657</v>
      </c>
      <c r="O216" s="35" t="s">
        <v>182</v>
      </c>
      <c r="P216" s="84" t="str">
        <f t="shared" si="12"/>
        <v>TRUE</v>
      </c>
      <c r="Q216" s="49"/>
      <c r="R216" s="90" t="s">
        <v>1658</v>
      </c>
      <c r="S216" s="90" t="s">
        <v>1746</v>
      </c>
      <c r="T216" s="90"/>
    </row>
    <row r="217" spans="1:20" customFormat="1">
      <c r="A217" s="43" t="s">
        <v>429</v>
      </c>
      <c r="B217" s="43" t="s">
        <v>400</v>
      </c>
      <c r="C217" s="48" t="s">
        <v>414</v>
      </c>
      <c r="D217" s="126" t="s">
        <v>1012</v>
      </c>
      <c r="E217" s="48" t="s">
        <v>401</v>
      </c>
      <c r="F217" s="126" t="s">
        <v>1012</v>
      </c>
      <c r="G217" s="48" t="s">
        <v>15</v>
      </c>
      <c r="H217" s="163"/>
      <c r="I217" s="48" t="s">
        <v>401</v>
      </c>
      <c r="J217" s="126" t="s">
        <v>1012</v>
      </c>
      <c r="K217" s="48" t="s">
        <v>15</v>
      </c>
      <c r="L217" s="163"/>
      <c r="M217" s="85" t="s">
        <v>293</v>
      </c>
      <c r="N217" s="83" t="s">
        <v>1657</v>
      </c>
      <c r="O217" s="35" t="s">
        <v>182</v>
      </c>
      <c r="P217" s="84" t="str">
        <f t="shared" si="12"/>
        <v>TRUE</v>
      </c>
      <c r="Q217" s="49"/>
      <c r="R217" s="90" t="s">
        <v>1658</v>
      </c>
      <c r="S217" s="90" t="s">
        <v>1746</v>
      </c>
      <c r="T217" s="90"/>
    </row>
    <row r="218" spans="1:20" s="389" customFormat="1">
      <c r="A218" s="43" t="s">
        <v>1666</v>
      </c>
      <c r="B218" s="43" t="s">
        <v>415</v>
      </c>
      <c r="C218" s="48" t="s">
        <v>414</v>
      </c>
      <c r="D218" s="126" t="s">
        <v>1012</v>
      </c>
      <c r="E218" s="48" t="s">
        <v>1021</v>
      </c>
      <c r="F218" s="126" t="s">
        <v>1012</v>
      </c>
      <c r="G218" s="48" t="s">
        <v>15</v>
      </c>
      <c r="H218" s="163"/>
      <c r="I218" s="48" t="s">
        <v>414</v>
      </c>
      <c r="J218" s="126" t="s">
        <v>1012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1666</v>
      </c>
      <c r="B219" s="43" t="s">
        <v>1667</v>
      </c>
      <c r="C219" s="48" t="s">
        <v>414</v>
      </c>
      <c r="D219" s="126" t="s">
        <v>1012</v>
      </c>
      <c r="E219" s="48" t="s">
        <v>1021</v>
      </c>
      <c r="F219" s="126" t="s">
        <v>1012</v>
      </c>
      <c r="G219" s="48" t="s">
        <v>15</v>
      </c>
      <c r="H219" s="163"/>
      <c r="I219" s="48" t="s">
        <v>1021</v>
      </c>
      <c r="J219" s="126" t="s">
        <v>1012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1161</v>
      </c>
      <c r="B220" s="43" t="s">
        <v>185</v>
      </c>
      <c r="C220" s="48" t="s">
        <v>97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204</v>
      </c>
      <c r="J220" s="126" t="s">
        <v>1012</v>
      </c>
      <c r="K220" s="48" t="s">
        <v>205</v>
      </c>
      <c r="L220" s="163"/>
      <c r="M220" s="54" t="s">
        <v>293</v>
      </c>
      <c r="N220" s="83" t="s">
        <v>1657</v>
      </c>
      <c r="O220" s="35" t="s">
        <v>182</v>
      </c>
      <c r="P220" s="84" t="str">
        <f t="shared" si="12"/>
        <v>TRUE</v>
      </c>
      <c r="Q220" s="49"/>
      <c r="R220" s="90" t="s">
        <v>1658</v>
      </c>
      <c r="S220" s="90" t="s">
        <v>1746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54" t="s">
        <v>293</v>
      </c>
      <c r="N221" s="83" t="s">
        <v>1657</v>
      </c>
      <c r="O221" s="35" t="s">
        <v>182</v>
      </c>
      <c r="P221" s="84" t="str">
        <f t="shared" si="12"/>
        <v>TRUE</v>
      </c>
      <c r="Q221" s="49"/>
      <c r="R221" s="90" t="s">
        <v>1658</v>
      </c>
      <c r="S221" s="90" t="s">
        <v>1746</v>
      </c>
      <c r="T221" s="90"/>
    </row>
    <row r="222" spans="1:20" s="36" customFormat="1">
      <c r="A222" s="43" t="s">
        <v>395</v>
      </c>
      <c r="B222" s="43" t="s">
        <v>189</v>
      </c>
      <c r="C222" s="48" t="s">
        <v>24</v>
      </c>
      <c r="D222" s="126" t="s">
        <v>1012</v>
      </c>
      <c r="E222" s="48" t="s">
        <v>203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395</v>
      </c>
      <c r="B223" s="43" t="s">
        <v>186</v>
      </c>
      <c r="C223" s="48" t="s">
        <v>1638</v>
      </c>
      <c r="D223" s="126" t="s">
        <v>1012</v>
      </c>
      <c r="E223" s="48" t="s">
        <v>206</v>
      </c>
      <c r="F223" s="126" t="s">
        <v>1012</v>
      </c>
      <c r="G223" s="48" t="s">
        <v>205</v>
      </c>
      <c r="H223" s="163"/>
      <c r="I223" s="48" t="s">
        <v>206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387</v>
      </c>
      <c r="B224" s="43" t="s">
        <v>189</v>
      </c>
      <c r="C224" s="48" t="s">
        <v>24</v>
      </c>
      <c r="D224" s="126" t="s">
        <v>1012</v>
      </c>
      <c r="E224" s="48" t="s">
        <v>99</v>
      </c>
      <c r="F224" s="126" t="s">
        <v>1012</v>
      </c>
      <c r="G224" s="48" t="s">
        <v>201</v>
      </c>
      <c r="H224" s="163"/>
      <c r="I224" s="48" t="s">
        <v>24</v>
      </c>
      <c r="J224" s="126" t="s">
        <v>1012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387</v>
      </c>
      <c r="B225" s="43" t="s">
        <v>341</v>
      </c>
      <c r="C225" s="48" t="s">
        <v>24</v>
      </c>
      <c r="D225" s="126" t="s">
        <v>1012</v>
      </c>
      <c r="E225" s="48" t="s">
        <v>99</v>
      </c>
      <c r="F225" s="126" t="s">
        <v>1012</v>
      </c>
      <c r="G225" s="48" t="s">
        <v>205</v>
      </c>
      <c r="H225" s="163"/>
      <c r="I225" s="48" t="s">
        <v>99</v>
      </c>
      <c r="J225" s="126" t="s">
        <v>1012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454</v>
      </c>
      <c r="B226" s="43" t="s">
        <v>186</v>
      </c>
      <c r="C226" s="48" t="s">
        <v>98</v>
      </c>
      <c r="D226" s="126" t="s">
        <v>1012</v>
      </c>
      <c r="E226" s="48" t="s">
        <v>99</v>
      </c>
      <c r="F226" s="126" t="s">
        <v>1012</v>
      </c>
      <c r="G226" s="48" t="s">
        <v>15</v>
      </c>
      <c r="H226" s="163"/>
      <c r="I226" s="48" t="s">
        <v>98</v>
      </c>
      <c r="J226" s="126" t="s">
        <v>1012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454</v>
      </c>
      <c r="B227" s="43" t="s">
        <v>341</v>
      </c>
      <c r="C227" s="48" t="s">
        <v>98</v>
      </c>
      <c r="D227" s="126" t="s">
        <v>1012</v>
      </c>
      <c r="E227" s="48" t="s">
        <v>99</v>
      </c>
      <c r="F227" s="126" t="s">
        <v>1012</v>
      </c>
      <c r="G227" s="48" t="s">
        <v>15</v>
      </c>
      <c r="H227" s="163"/>
      <c r="I227" s="48" t="s">
        <v>99</v>
      </c>
      <c r="J227" s="126" t="s">
        <v>1012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1036</v>
      </c>
      <c r="B228" s="43" t="s">
        <v>1035</v>
      </c>
      <c r="C228" s="48" t="s">
        <v>1034</v>
      </c>
      <c r="D228" s="126" t="s">
        <v>1012</v>
      </c>
      <c r="E228" s="48" t="s">
        <v>1024</v>
      </c>
      <c r="F228" s="126" t="s">
        <v>1012</v>
      </c>
      <c r="G228" s="48" t="s">
        <v>15</v>
      </c>
      <c r="H228" s="163"/>
      <c r="I228" s="48" t="s">
        <v>1034</v>
      </c>
      <c r="J228" s="126" t="s">
        <v>1012</v>
      </c>
      <c r="K228" s="48" t="s">
        <v>15</v>
      </c>
      <c r="L228" s="163"/>
      <c r="M228" s="85" t="s">
        <v>293</v>
      </c>
      <c r="N228" s="83" t="s">
        <v>1657</v>
      </c>
      <c r="O228" s="35" t="s">
        <v>182</v>
      </c>
      <c r="P228" s="84" t="str">
        <f t="shared" si="12"/>
        <v>TRUE</v>
      </c>
      <c r="Q228" s="49"/>
      <c r="R228" s="90" t="s">
        <v>1757</v>
      </c>
      <c r="S228" s="90" t="s">
        <v>1746</v>
      </c>
      <c r="T228" s="90"/>
    </row>
    <row r="229" spans="1:20" s="129" customFormat="1">
      <c r="A229" s="43" t="s">
        <v>1036</v>
      </c>
      <c r="B229" s="43" t="s">
        <v>1025</v>
      </c>
      <c r="C229" s="48" t="s">
        <v>1034</v>
      </c>
      <c r="D229" s="126" t="s">
        <v>1012</v>
      </c>
      <c r="E229" s="48" t="s">
        <v>1024</v>
      </c>
      <c r="F229" s="126" t="s">
        <v>1012</v>
      </c>
      <c r="G229" s="48" t="s">
        <v>15</v>
      </c>
      <c r="H229" s="163"/>
      <c r="I229" s="48" t="s">
        <v>1024</v>
      </c>
      <c r="J229" s="126" t="s">
        <v>1012</v>
      </c>
      <c r="K229" s="48" t="s">
        <v>15</v>
      </c>
      <c r="L229" s="163"/>
      <c r="M229" s="85" t="s">
        <v>293</v>
      </c>
      <c r="N229" s="83" t="s">
        <v>1657</v>
      </c>
      <c r="O229" s="35" t="s">
        <v>182</v>
      </c>
      <c r="P229" s="84" t="str">
        <f t="shared" si="12"/>
        <v>TRUE</v>
      </c>
      <c r="Q229" s="49"/>
      <c r="R229" s="90" t="s">
        <v>1757</v>
      </c>
      <c r="S229" s="90" t="s">
        <v>1746</v>
      </c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660</v>
      </c>
      <c r="R234" s="101" t="s">
        <v>623</v>
      </c>
      <c r="S234" s="101" t="s">
        <v>907</v>
      </c>
      <c r="T234" s="101" t="s">
        <v>1318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1159</v>
      </c>
      <c r="S235" s="102" t="s">
        <v>1160</v>
      </c>
      <c r="T235" s="102" t="s">
        <v>1477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1162</v>
      </c>
      <c r="R239" s="101" t="s">
        <v>623</v>
      </c>
      <c r="S239" s="101" t="s">
        <v>907</v>
      </c>
      <c r="T239" s="101" t="s">
        <v>1318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1013</v>
      </c>
      <c r="E240" s="23" t="s">
        <v>178</v>
      </c>
      <c r="F240" s="23" t="s">
        <v>1014</v>
      </c>
      <c r="G240" s="23" t="s">
        <v>179</v>
      </c>
      <c r="H240" s="23" t="s">
        <v>683</v>
      </c>
      <c r="I240" s="23" t="s">
        <v>195</v>
      </c>
      <c r="J240" s="23" t="s">
        <v>684</v>
      </c>
      <c r="K240" s="23" t="s">
        <v>197</v>
      </c>
      <c r="L240" s="23" t="s">
        <v>685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1159</v>
      </c>
      <c r="S240" s="102" t="s">
        <v>1160</v>
      </c>
      <c r="T240" s="102" t="s">
        <v>1477</v>
      </c>
    </row>
    <row r="241" spans="1:20" s="36" customFormat="1">
      <c r="A241" s="43" t="s">
        <v>393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1659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1657</v>
      </c>
      <c r="O242" s="35" t="s">
        <v>182</v>
      </c>
      <c r="P242" s="84" t="str">
        <f>N242</f>
        <v>TRUE</v>
      </c>
      <c r="Q242" s="49"/>
      <c r="R242" s="90" t="s">
        <v>1658</v>
      </c>
      <c r="S242" s="90" t="s">
        <v>1746</v>
      </c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1657</v>
      </c>
      <c r="O243" s="35" t="s">
        <v>182</v>
      </c>
      <c r="P243" s="84" t="str">
        <f t="shared" ref="P243:P253" si="20">N243</f>
        <v>TRUE</v>
      </c>
      <c r="Q243" s="49"/>
      <c r="R243" s="90" t="s">
        <v>1658</v>
      </c>
      <c r="S243" s="90" t="s">
        <v>1746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1657</v>
      </c>
      <c r="O244" s="35" t="s">
        <v>182</v>
      </c>
      <c r="P244" s="84" t="str">
        <f>N244</f>
        <v>TRUE</v>
      </c>
      <c r="Q244" s="49"/>
      <c r="R244" s="90" t="s">
        <v>1658</v>
      </c>
      <c r="S244" s="90" t="s">
        <v>1746</v>
      </c>
      <c r="T244" s="90"/>
    </row>
    <row r="245" spans="1:20" s="36" customFormat="1">
      <c r="A245" s="43" t="s">
        <v>394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1657</v>
      </c>
      <c r="O245" s="35" t="s">
        <v>182</v>
      </c>
      <c r="P245" s="84" t="str">
        <f t="shared" ref="P245" si="21">N245</f>
        <v>TRUE</v>
      </c>
      <c r="Q245" s="49"/>
      <c r="R245" s="90" t="s">
        <v>1658</v>
      </c>
      <c r="S245" s="90" t="s">
        <v>1746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1657</v>
      </c>
      <c r="O246" s="35" t="s">
        <v>182</v>
      </c>
      <c r="P246" s="84" t="str">
        <f t="shared" si="20"/>
        <v>TRUE</v>
      </c>
      <c r="Q246" s="49"/>
      <c r="R246" s="90" t="s">
        <v>1658</v>
      </c>
      <c r="S246" s="90" t="s">
        <v>1746</v>
      </c>
      <c r="T246" s="90"/>
    </row>
    <row r="247" spans="1:20" s="130" customFormat="1">
      <c r="A247" s="43" t="s">
        <v>1065</v>
      </c>
      <c r="B247" s="43" t="s">
        <v>1066</v>
      </c>
      <c r="C247" s="48" t="s">
        <v>1067</v>
      </c>
      <c r="D247" s="163"/>
      <c r="E247" s="48" t="s">
        <v>1067</v>
      </c>
      <c r="F247" s="163"/>
      <c r="G247" s="48" t="s">
        <v>201</v>
      </c>
      <c r="H247" s="163"/>
      <c r="I247" s="48" t="s">
        <v>1067</v>
      </c>
      <c r="J247" s="163"/>
      <c r="K247" s="48" t="s">
        <v>201</v>
      </c>
      <c r="L247" s="163"/>
      <c r="M247" s="27" t="s">
        <v>293</v>
      </c>
      <c r="N247" s="83" t="s">
        <v>1657</v>
      </c>
      <c r="O247" s="35" t="s">
        <v>182</v>
      </c>
      <c r="P247" s="84" t="str">
        <f t="shared" si="20"/>
        <v>TRUE</v>
      </c>
      <c r="Q247" s="49"/>
      <c r="R247" s="90" t="s">
        <v>1658</v>
      </c>
      <c r="S247" s="90" t="s">
        <v>1746</v>
      </c>
      <c r="T247" s="90"/>
    </row>
    <row r="248" spans="1:20" s="36" customFormat="1">
      <c r="A248" s="43" t="s">
        <v>396</v>
      </c>
      <c r="B248" s="43" t="s">
        <v>397</v>
      </c>
      <c r="C248" s="48" t="s">
        <v>398</v>
      </c>
      <c r="D248" s="163"/>
      <c r="E248" s="48" t="s">
        <v>398</v>
      </c>
      <c r="F248" s="163"/>
      <c r="G248" s="48" t="s">
        <v>205</v>
      </c>
      <c r="H248" s="163"/>
      <c r="I248" s="48" t="s">
        <v>398</v>
      </c>
      <c r="J248" s="163"/>
      <c r="K248" s="48" t="s">
        <v>205</v>
      </c>
      <c r="L248" s="163"/>
      <c r="M248" s="86" t="s">
        <v>292</v>
      </c>
      <c r="N248" s="83" t="s">
        <v>1657</v>
      </c>
      <c r="O248" s="35" t="s">
        <v>182</v>
      </c>
      <c r="P248" s="84" t="str">
        <f t="shared" si="20"/>
        <v>TRUE</v>
      </c>
      <c r="Q248" s="49"/>
      <c r="R248" s="90" t="s">
        <v>1658</v>
      </c>
      <c r="S248" s="90" t="s">
        <v>1746</v>
      </c>
      <c r="T248" s="90"/>
    </row>
    <row r="249" spans="1:20" s="36" customFormat="1">
      <c r="A249" s="43" t="s">
        <v>1755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430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1659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1657</v>
      </c>
      <c r="O251" s="35" t="s">
        <v>182</v>
      </c>
      <c r="P251" s="84" t="str">
        <f t="shared" si="20"/>
        <v>TRUE</v>
      </c>
      <c r="Q251" s="49"/>
      <c r="R251" s="90" t="s">
        <v>1658</v>
      </c>
      <c r="S251" s="90" t="s">
        <v>1746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1657</v>
      </c>
      <c r="O252" s="35" t="s">
        <v>182</v>
      </c>
      <c r="P252" s="84" t="str">
        <f t="shared" si="20"/>
        <v>TRUE</v>
      </c>
      <c r="Q252" s="49"/>
      <c r="R252" s="90" t="s">
        <v>1658</v>
      </c>
      <c r="S252" s="90" t="s">
        <v>1746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 t="s">
        <v>1658</v>
      </c>
      <c r="S253" s="90"/>
      <c r="T253" s="90"/>
    </row>
    <row r="254" spans="1:20" customFormat="1">
      <c r="A254" s="43" t="s">
        <v>399</v>
      </c>
      <c r="B254" s="43" t="s">
        <v>400</v>
      </c>
      <c r="C254" s="48" t="s">
        <v>401</v>
      </c>
      <c r="D254" s="163"/>
      <c r="E254" s="48" t="s">
        <v>401</v>
      </c>
      <c r="F254" s="163"/>
      <c r="G254" s="48" t="s">
        <v>201</v>
      </c>
      <c r="H254" s="163"/>
      <c r="I254" s="48" t="s">
        <v>401</v>
      </c>
      <c r="J254" s="163"/>
      <c r="K254" s="48" t="s">
        <v>201</v>
      </c>
      <c r="L254" s="163"/>
      <c r="M254" s="86" t="s">
        <v>293</v>
      </c>
      <c r="N254" s="83" t="s">
        <v>1657</v>
      </c>
      <c r="O254" s="35" t="s">
        <v>182</v>
      </c>
      <c r="P254" s="84" t="str">
        <f t="shared" ref="P254" si="23">N254</f>
        <v>TRUE</v>
      </c>
      <c r="Q254" s="49"/>
      <c r="R254" s="90" t="s">
        <v>1658</v>
      </c>
      <c r="S254" s="90" t="s">
        <v>1746</v>
      </c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660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681</v>
      </c>
      <c r="E261" s="23" t="s">
        <v>178</v>
      </c>
      <c r="F261" s="93" t="s">
        <v>682</v>
      </c>
      <c r="G261" s="23" t="s">
        <v>179</v>
      </c>
      <c r="H261" s="93" t="s">
        <v>683</v>
      </c>
      <c r="I261" s="23" t="s">
        <v>195</v>
      </c>
      <c r="J261" s="93" t="s">
        <v>684</v>
      </c>
      <c r="K261" s="23" t="s">
        <v>197</v>
      </c>
      <c r="L261" s="93" t="s">
        <v>685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380</v>
      </c>
      <c r="O262" s="35" t="s">
        <v>182</v>
      </c>
      <c r="P262" s="84" t="str">
        <f t="shared" ref="P262:P282" si="24">N262</f>
        <v>FALSE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1657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455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1657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1657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1657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1068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1657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82" t="s">
        <v>456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1657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1657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1657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1037</v>
      </c>
      <c r="B272" s="43" t="s">
        <v>1038</v>
      </c>
      <c r="C272" s="48" t="s">
        <v>1039</v>
      </c>
      <c r="D272" s="163"/>
      <c r="E272" s="48" t="s">
        <v>201</v>
      </c>
      <c r="F272" s="163"/>
      <c r="G272" s="48" t="s">
        <v>201</v>
      </c>
      <c r="H272" s="163"/>
      <c r="I272" s="48" t="s">
        <v>1039</v>
      </c>
      <c r="J272" s="163"/>
      <c r="K272" s="48" t="s">
        <v>201</v>
      </c>
      <c r="L272" s="163"/>
      <c r="M272" s="27" t="s">
        <v>293</v>
      </c>
      <c r="N272" s="83" t="s">
        <v>380</v>
      </c>
      <c r="O272" s="35" t="s">
        <v>182</v>
      </c>
      <c r="P272" s="84" t="str">
        <f t="shared" si="24"/>
        <v>FALSE</v>
      </c>
      <c r="Q272" s="49"/>
    </row>
    <row r="273" spans="1:17" s="129" customFormat="1">
      <c r="A273" s="82" t="s">
        <v>1756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431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1659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1657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1657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1657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1657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1657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1657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1657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1657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1040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457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1657</v>
      </c>
      <c r="O285" s="35" t="s">
        <v>182</v>
      </c>
      <c r="P285" s="84" t="str">
        <f t="shared" ref="P285" si="31">N285</f>
        <v>TRUE</v>
      </c>
      <c r="Q285" s="49"/>
    </row>
    <row r="286" spans="1:17" s="389" customFormat="1">
      <c r="A286" s="82" t="s">
        <v>457</v>
      </c>
      <c r="B286" s="82" t="s">
        <v>457</v>
      </c>
      <c r="C286" s="48" t="s">
        <v>401</v>
      </c>
      <c r="D286" s="163"/>
      <c r="E286" s="48" t="s">
        <v>201</v>
      </c>
      <c r="F286" s="163"/>
      <c r="G286" s="48" t="s">
        <v>201</v>
      </c>
      <c r="H286" s="163"/>
      <c r="I286" s="48" t="s">
        <v>401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402</v>
      </c>
      <c r="B287" s="43" t="s">
        <v>400</v>
      </c>
      <c r="C287" s="48" t="s">
        <v>401</v>
      </c>
      <c r="D287" s="163"/>
      <c r="E287" s="48" t="s">
        <v>201</v>
      </c>
      <c r="F287" s="163"/>
      <c r="G287" s="48" t="s">
        <v>201</v>
      </c>
      <c r="H287" s="163"/>
      <c r="I287" s="48" t="s">
        <v>401</v>
      </c>
      <c r="J287" s="163"/>
      <c r="K287" s="48" t="s">
        <v>201</v>
      </c>
      <c r="L287" s="163"/>
      <c r="M287" s="86" t="s">
        <v>293</v>
      </c>
      <c r="N287" s="83" t="s">
        <v>1657</v>
      </c>
      <c r="O287" s="35" t="s">
        <v>182</v>
      </c>
      <c r="P287" s="84" t="str">
        <f t="shared" ref="P287:P288" si="33">N287</f>
        <v>TRUE</v>
      </c>
      <c r="Q287" s="49"/>
    </row>
    <row r="288" spans="1:17" s="389" customFormat="1">
      <c r="A288" s="43" t="s">
        <v>402</v>
      </c>
      <c r="B288" s="43" t="s">
        <v>402</v>
      </c>
      <c r="C288" s="48" t="s">
        <v>401</v>
      </c>
      <c r="D288" s="391"/>
      <c r="E288" s="48" t="s">
        <v>201</v>
      </c>
      <c r="F288" s="391"/>
      <c r="G288" s="48" t="s">
        <v>201</v>
      </c>
      <c r="H288" s="391"/>
      <c r="I288" s="48" t="s">
        <v>401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676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4RGGKcTAizMRmhRkp4j2sRLfRhQILh86cZseb+wrPKqTGAxQutk0WlMmduJ2ntYVuoaXh2cAxJlThHL6cLkk9Q==" saltValue="sJSaBebFS+y7zE2CoUr9hA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2" operator="equal">
      <formula>FALSE</formula>
    </cfRule>
    <cfRule type="cellIs" dxfId="252" priority="597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3" operator="equal">
      <formula>FALSE</formula>
    </cfRule>
    <cfRule type="cellIs" dxfId="250" priority="594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68" operator="containsText" text="ALTERNATE_FE">
      <formula>NOT(ISERROR(SEARCH("ALTERNATE_FE",D19)))</formula>
    </cfRule>
    <cfRule type="cellIs" dxfId="248" priority="369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599" operator="equal">
      <formula>"Disable"</formula>
    </cfRule>
    <cfRule type="cellIs" dxfId="246" priority="600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69" operator="containsText" text="DL">
      <formula>NOT(ISERROR(SEARCH("DL",R19)))</formula>
    </cfRule>
    <cfRule type="containsText" dxfId="244" priority="270" operator="containsText" text="LTE">
      <formula>NOT(ISERROR(SEARCH("LTE",R19)))</formula>
    </cfRule>
    <cfRule type="containsText" dxfId="243" priority="271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0">
      <formula>$BC$5="SW_CAPABILITY_NOT_SUPPORT"</formula>
    </cfRule>
  </conditionalFormatting>
  <conditionalFormatting sqref="N59">
    <cfRule type="cellIs" dxfId="241" priority="224" operator="equal">
      <formula>FALSE</formula>
    </cfRule>
    <cfRule type="cellIs" dxfId="240" priority="227" operator="equal">
      <formula>TRUE</formula>
    </cfRule>
  </conditionalFormatting>
  <conditionalFormatting sqref="P59">
    <cfRule type="cellIs" dxfId="239" priority="225" operator="equal">
      <formula>FALSE</formula>
    </cfRule>
    <cfRule type="cellIs" dxfId="238" priority="226" operator="equal">
      <formula>TRUE</formula>
    </cfRule>
  </conditionalFormatting>
  <conditionalFormatting sqref="O59">
    <cfRule type="cellIs" dxfId="237" priority="228" operator="equal">
      <formula>"Disable"</formula>
    </cfRule>
    <cfRule type="cellIs" dxfId="236" priority="229" operator="equal">
      <formula>"Enable"</formula>
    </cfRule>
  </conditionalFormatting>
  <conditionalFormatting sqref="N60">
    <cfRule type="cellIs" dxfId="235" priority="216" operator="equal">
      <formula>FALSE</formula>
    </cfRule>
    <cfRule type="cellIs" dxfId="234" priority="219" operator="equal">
      <formula>TRUE</formula>
    </cfRule>
  </conditionalFormatting>
  <conditionalFormatting sqref="P60">
    <cfRule type="cellIs" dxfId="233" priority="217" operator="equal">
      <formula>FALSE</formula>
    </cfRule>
    <cfRule type="cellIs" dxfId="232" priority="218" operator="equal">
      <formula>TRUE</formula>
    </cfRule>
  </conditionalFormatting>
  <conditionalFormatting sqref="O60">
    <cfRule type="cellIs" dxfId="231" priority="220" operator="equal">
      <formula>"Disable"</formula>
    </cfRule>
    <cfRule type="cellIs" dxfId="230" priority="221" operator="equal">
      <formula>"Enable"</formula>
    </cfRule>
  </conditionalFormatting>
  <conditionalFormatting sqref="N177:N178">
    <cfRule type="cellIs" dxfId="229" priority="210" operator="equal">
      <formula>FALSE</formula>
    </cfRule>
    <cfRule type="cellIs" dxfId="228" priority="213" operator="equal">
      <formula>TRUE</formula>
    </cfRule>
  </conditionalFormatting>
  <conditionalFormatting sqref="P177:P178">
    <cfRule type="cellIs" dxfId="227" priority="211" operator="equal">
      <formula>FALSE</formula>
    </cfRule>
    <cfRule type="cellIs" dxfId="226" priority="212" operator="equal">
      <formula>TRUE</formula>
    </cfRule>
  </conditionalFormatting>
  <conditionalFormatting sqref="O177:O178">
    <cfRule type="cellIs" dxfId="225" priority="214" operator="equal">
      <formula>"Disable"</formula>
    </cfRule>
    <cfRule type="cellIs" dxfId="224" priority="215" operator="equal">
      <formula>"Enable"</formula>
    </cfRule>
  </conditionalFormatting>
  <conditionalFormatting sqref="N179:N180">
    <cfRule type="cellIs" dxfId="223" priority="204" operator="equal">
      <formula>FALSE</formula>
    </cfRule>
    <cfRule type="cellIs" dxfId="222" priority="207" operator="equal">
      <formula>TRUE</formula>
    </cfRule>
  </conditionalFormatting>
  <conditionalFormatting sqref="P179:P180">
    <cfRule type="cellIs" dxfId="221" priority="205" operator="equal">
      <formula>FALSE</formula>
    </cfRule>
    <cfRule type="cellIs" dxfId="220" priority="206" operator="equal">
      <formula>TRUE</formula>
    </cfRule>
  </conditionalFormatting>
  <conditionalFormatting sqref="O179:O180">
    <cfRule type="cellIs" dxfId="219" priority="208" operator="equal">
      <formula>"Disable"</formula>
    </cfRule>
    <cfRule type="cellIs" dxfId="218" priority="209" operator="equal">
      <formula>"Enable"</formula>
    </cfRule>
  </conditionalFormatting>
  <conditionalFormatting sqref="N218">
    <cfRule type="cellIs" dxfId="217" priority="198" operator="equal">
      <formula>FALSE</formula>
    </cfRule>
    <cfRule type="cellIs" dxfId="216" priority="201" operator="equal">
      <formula>TRUE</formula>
    </cfRule>
  </conditionalFormatting>
  <conditionalFormatting sqref="P218">
    <cfRule type="cellIs" dxfId="215" priority="199" operator="equal">
      <formula>FALSE</formula>
    </cfRule>
    <cfRule type="cellIs" dxfId="214" priority="200" operator="equal">
      <formula>TRUE</formula>
    </cfRule>
  </conditionalFormatting>
  <conditionalFormatting sqref="O218">
    <cfRule type="cellIs" dxfId="213" priority="202" operator="equal">
      <formula>"Disable"</formula>
    </cfRule>
    <cfRule type="cellIs" dxfId="212" priority="203" operator="equal">
      <formula>"Enable"</formula>
    </cfRule>
  </conditionalFormatting>
  <conditionalFormatting sqref="N219">
    <cfRule type="cellIs" dxfId="211" priority="192" operator="equal">
      <formula>FALSE</formula>
    </cfRule>
    <cfRule type="cellIs" dxfId="210" priority="195" operator="equal">
      <formula>TRUE</formula>
    </cfRule>
  </conditionalFormatting>
  <conditionalFormatting sqref="P219">
    <cfRule type="cellIs" dxfId="209" priority="193" operator="equal">
      <formula>FALSE</formula>
    </cfRule>
    <cfRule type="cellIs" dxfId="208" priority="194" operator="equal">
      <formula>TRUE</formula>
    </cfRule>
  </conditionalFormatting>
  <conditionalFormatting sqref="O219">
    <cfRule type="cellIs" dxfId="207" priority="196" operator="equal">
      <formula>"Disable"</formula>
    </cfRule>
    <cfRule type="cellIs" dxfId="206" priority="197" operator="equal">
      <formula>"Enable"</formula>
    </cfRule>
  </conditionalFormatting>
  <conditionalFormatting sqref="N286">
    <cfRule type="cellIs" dxfId="205" priority="186" operator="equal">
      <formula>FALSE</formula>
    </cfRule>
    <cfRule type="cellIs" dxfId="204" priority="189" operator="equal">
      <formula>TRUE</formula>
    </cfRule>
  </conditionalFormatting>
  <conditionalFormatting sqref="P286">
    <cfRule type="cellIs" dxfId="203" priority="187" operator="equal">
      <formula>FALSE</formula>
    </cfRule>
    <cfRule type="cellIs" dxfId="202" priority="188" operator="equal">
      <formula>TRUE</formula>
    </cfRule>
  </conditionalFormatting>
  <conditionalFormatting sqref="O286">
    <cfRule type="cellIs" dxfId="201" priority="190" operator="equal">
      <formula>"Disable"</formula>
    </cfRule>
    <cfRule type="cellIs" dxfId="200" priority="191" operator="equal">
      <formula>"Enable"</formula>
    </cfRule>
  </conditionalFormatting>
  <conditionalFormatting sqref="N288">
    <cfRule type="cellIs" dxfId="199" priority="180" operator="equal">
      <formula>FALSE</formula>
    </cfRule>
    <cfRule type="cellIs" dxfId="198" priority="183" operator="equal">
      <formula>TRUE</formula>
    </cfRule>
  </conditionalFormatting>
  <conditionalFormatting sqref="P288">
    <cfRule type="cellIs" dxfId="197" priority="181" operator="equal">
      <formula>FALSE</formula>
    </cfRule>
    <cfRule type="cellIs" dxfId="196" priority="182" operator="equal">
      <formula>TRUE</formula>
    </cfRule>
  </conditionalFormatting>
  <conditionalFormatting sqref="O288">
    <cfRule type="cellIs" dxfId="195" priority="184" operator="equal">
      <formula>"Disable"</formula>
    </cfRule>
    <cfRule type="cellIs" dxfId="194" priority="185" operator="equal">
      <formula>"Enable"</formula>
    </cfRule>
  </conditionalFormatting>
  <conditionalFormatting sqref="N210:N211">
    <cfRule type="cellIs" dxfId="193" priority="172" operator="equal">
      <formula>FALSE</formula>
    </cfRule>
    <cfRule type="cellIs" dxfId="192" priority="175" operator="equal">
      <formula>TRUE</formula>
    </cfRule>
  </conditionalFormatting>
  <conditionalFormatting sqref="P210:P211">
    <cfRule type="cellIs" dxfId="191" priority="173" operator="equal">
      <formula>FALSE</formula>
    </cfRule>
    <cfRule type="cellIs" dxfId="190" priority="174" operator="equal">
      <formula>TRUE</formula>
    </cfRule>
  </conditionalFormatting>
  <conditionalFormatting sqref="J210:J211 F210:F211 D210:D211">
    <cfRule type="containsText" dxfId="189" priority="170" operator="containsText" text="ALTERNATE_FE">
      <formula>NOT(ISERROR(SEARCH("ALTERNATE_FE",D210)))</formula>
    </cfRule>
    <cfRule type="cellIs" dxfId="188" priority="171" operator="equal">
      <formula>"Single Band Path"</formula>
    </cfRule>
  </conditionalFormatting>
  <conditionalFormatting sqref="O210:O211">
    <cfRule type="cellIs" dxfId="187" priority="176" operator="equal">
      <formula>"Disable"</formula>
    </cfRule>
    <cfRule type="cellIs" dxfId="186" priority="177" operator="equal">
      <formula>"Enable"</formula>
    </cfRule>
  </conditionalFormatting>
  <conditionalFormatting sqref="R210:T211">
    <cfRule type="containsText" dxfId="185" priority="167" operator="containsText" text="DL">
      <formula>NOT(ISERROR(SEARCH("DL",R210)))</formula>
    </cfRule>
    <cfRule type="containsText" dxfId="184" priority="168" operator="containsText" text="LTE">
      <formula>NOT(ISERROR(SEARCH("LTE",R210)))</formula>
    </cfRule>
    <cfRule type="containsText" dxfId="183" priority="169" operator="containsText" text="UL">
      <formula>NOT(ISERROR(SEARCH("UL",R210)))</formula>
    </cfRule>
  </conditionalFormatting>
  <conditionalFormatting sqref="T210:T211">
    <cfRule type="expression" dxfId="182" priority="166">
      <formula>$BC$5="SW_CAPABILITY_NOT_SUPPORT"</formula>
    </cfRule>
  </conditionalFormatting>
  <conditionalFormatting sqref="N78:N79">
    <cfRule type="cellIs" dxfId="181" priority="158" operator="equal">
      <formula>FALSE</formula>
    </cfRule>
    <cfRule type="cellIs" dxfId="180" priority="161" operator="equal">
      <formula>TRUE</formula>
    </cfRule>
  </conditionalFormatting>
  <conditionalFormatting sqref="P78:P79">
    <cfRule type="cellIs" dxfId="179" priority="159" operator="equal">
      <formula>FALSE</formula>
    </cfRule>
    <cfRule type="cellIs" dxfId="178" priority="160" operator="equal">
      <formula>TRUE</formula>
    </cfRule>
  </conditionalFormatting>
  <conditionalFormatting sqref="J78:J79 F78:F79 D78:D79">
    <cfRule type="containsText" dxfId="177" priority="156" operator="containsText" text="ALTERNATE_FE">
      <formula>NOT(ISERROR(SEARCH("ALTERNATE_FE",D78)))</formula>
    </cfRule>
    <cfRule type="cellIs" dxfId="176" priority="157" operator="equal">
      <formula>"Single Band Path"</formula>
    </cfRule>
  </conditionalFormatting>
  <conditionalFormatting sqref="O78:O79">
    <cfRule type="cellIs" dxfId="175" priority="162" operator="equal">
      <formula>"Disable"</formula>
    </cfRule>
    <cfRule type="cellIs" dxfId="174" priority="163" operator="equal">
      <formula>"Enable"</formula>
    </cfRule>
  </conditionalFormatting>
  <conditionalFormatting sqref="R78:T79">
    <cfRule type="containsText" dxfId="173" priority="153" operator="containsText" text="DL">
      <formula>NOT(ISERROR(SEARCH("DL",R78)))</formula>
    </cfRule>
    <cfRule type="containsText" dxfId="172" priority="154" operator="containsText" text="LTE">
      <formula>NOT(ISERROR(SEARCH("LTE",R78)))</formula>
    </cfRule>
    <cfRule type="containsText" dxfId="171" priority="155" operator="containsText" text="UL">
      <formula>NOT(ISERROR(SEARCH("UL",R78)))</formula>
    </cfRule>
  </conditionalFormatting>
  <conditionalFormatting sqref="T78:T79">
    <cfRule type="expression" dxfId="170" priority="152">
      <formula>$BC$5="SW_CAPABILITY_NOT_SUPPORT"</formula>
    </cfRule>
  </conditionalFormatting>
  <conditionalFormatting sqref="N122:N123">
    <cfRule type="cellIs" dxfId="169" priority="125" operator="equal">
      <formula>FALSE</formula>
    </cfRule>
    <cfRule type="cellIs" dxfId="168" priority="128" operator="equal">
      <formula>TRUE</formula>
    </cfRule>
  </conditionalFormatting>
  <conditionalFormatting sqref="P84:P85">
    <cfRule type="cellIs" dxfId="167" priority="145" operator="equal">
      <formula>FALSE</formula>
    </cfRule>
    <cfRule type="cellIs" dxfId="166" priority="146" operator="equal">
      <formula>TRUE</formula>
    </cfRule>
  </conditionalFormatting>
  <conditionalFormatting sqref="D84:D85 F84:F85 J84:J85">
    <cfRule type="containsText" dxfId="165" priority="142" operator="containsText" text="ALTERNATE_FE">
      <formula>NOT(ISERROR(SEARCH("ALTERNATE_FE",D84)))</formula>
    </cfRule>
    <cfRule type="cellIs" dxfId="164" priority="143" operator="equal">
      <formula>"Single Band Path"</formula>
    </cfRule>
  </conditionalFormatting>
  <conditionalFormatting sqref="O84:O85">
    <cfRule type="cellIs" dxfId="163" priority="148" operator="equal">
      <formula>"Disable"</formula>
    </cfRule>
    <cfRule type="cellIs" dxfId="162" priority="149" operator="equal">
      <formula>"Enable"</formula>
    </cfRule>
  </conditionalFormatting>
  <conditionalFormatting sqref="T84:T85">
    <cfRule type="containsText" dxfId="161" priority="139" operator="containsText" text="DL">
      <formula>NOT(ISERROR(SEARCH("DL",T84)))</formula>
    </cfRule>
    <cfRule type="containsText" dxfId="160" priority="140" operator="containsText" text="LTE">
      <formula>NOT(ISERROR(SEARCH("LTE",T84)))</formula>
    </cfRule>
    <cfRule type="containsText" dxfId="159" priority="141" operator="containsText" text="UL">
      <formula>NOT(ISERROR(SEARCH("UL",T84)))</formula>
    </cfRule>
  </conditionalFormatting>
  <conditionalFormatting sqref="T84:T85">
    <cfRule type="expression" dxfId="158" priority="138">
      <formula>$BC$5="SW_CAPABILITY_NOT_SUPPORT"</formula>
    </cfRule>
  </conditionalFormatting>
  <conditionalFormatting sqref="N84:N85">
    <cfRule type="cellIs" dxfId="157" priority="136" operator="equal">
      <formula>FALSE</formula>
    </cfRule>
    <cfRule type="cellIs" dxfId="156" priority="137" operator="equal">
      <formula>TRUE</formula>
    </cfRule>
  </conditionalFormatting>
  <conditionalFormatting sqref="R84:S85">
    <cfRule type="containsText" dxfId="155" priority="133" operator="containsText" text="DL">
      <formula>NOT(ISERROR(SEARCH("DL",R84)))</formula>
    </cfRule>
    <cfRule type="containsText" dxfId="154" priority="134" operator="containsText" text="LTE">
      <formula>NOT(ISERROR(SEARCH("LTE",R84)))</formula>
    </cfRule>
    <cfRule type="containsText" dxfId="153" priority="135" operator="containsText" text="UL">
      <formula>NOT(ISERROR(SEARCH("UL",R84)))</formula>
    </cfRule>
  </conditionalFormatting>
  <conditionalFormatting sqref="N165:N166">
    <cfRule type="cellIs" dxfId="152" priority="111" operator="equal">
      <formula>FALSE</formula>
    </cfRule>
    <cfRule type="cellIs" dxfId="151" priority="114" operator="equal">
      <formula>TRUE</formula>
    </cfRule>
  </conditionalFormatting>
  <conditionalFormatting sqref="P122:P123">
    <cfRule type="cellIs" dxfId="150" priority="126" operator="equal">
      <formula>FALSE</formula>
    </cfRule>
    <cfRule type="cellIs" dxfId="149" priority="127" operator="equal">
      <formula>TRUE</formula>
    </cfRule>
  </conditionalFormatting>
  <conditionalFormatting sqref="J122:J123 F122:F123 D122:D123">
    <cfRule type="containsText" dxfId="148" priority="123" operator="containsText" text="ALTERNATE_FE">
      <formula>NOT(ISERROR(SEARCH("ALTERNATE_FE",D122)))</formula>
    </cfRule>
    <cfRule type="cellIs" dxfId="147" priority="124" operator="equal">
      <formula>"Single Band Path"</formula>
    </cfRule>
  </conditionalFormatting>
  <conditionalFormatting sqref="O122:O123">
    <cfRule type="cellIs" dxfId="146" priority="129" operator="equal">
      <formula>"Disable"</formula>
    </cfRule>
    <cfRule type="cellIs" dxfId="145" priority="130" operator="equal">
      <formula>"Enable"</formula>
    </cfRule>
  </conditionalFormatting>
  <conditionalFormatting sqref="R122:T123">
    <cfRule type="containsText" dxfId="144" priority="120" operator="containsText" text="DL">
      <formula>NOT(ISERROR(SEARCH("DL",R122)))</formula>
    </cfRule>
    <cfRule type="containsText" dxfId="143" priority="121" operator="containsText" text="LTE">
      <formula>NOT(ISERROR(SEARCH("LTE",R122)))</formula>
    </cfRule>
    <cfRule type="containsText" dxfId="142" priority="122" operator="containsText" text="UL">
      <formula>NOT(ISERROR(SEARCH("UL",R122)))</formula>
    </cfRule>
  </conditionalFormatting>
  <conditionalFormatting sqref="T122:T123">
    <cfRule type="expression" dxfId="141" priority="119">
      <formula>$BC$5="SW_CAPABILITY_NOT_SUPPORT"</formula>
    </cfRule>
  </conditionalFormatting>
  <conditionalFormatting sqref="N167:N168">
    <cfRule type="cellIs" dxfId="140" priority="97" operator="equal">
      <formula>FALSE</formula>
    </cfRule>
    <cfRule type="cellIs" dxfId="139" priority="100" operator="equal">
      <formula>TRUE</formula>
    </cfRule>
  </conditionalFormatting>
  <conditionalFormatting sqref="P165:P166">
    <cfRule type="cellIs" dxfId="138" priority="112" operator="equal">
      <formula>FALSE</formula>
    </cfRule>
    <cfRule type="cellIs" dxfId="137" priority="113" operator="equal">
      <formula>TRUE</formula>
    </cfRule>
  </conditionalFormatting>
  <conditionalFormatting sqref="J165:J166 F165:F166 D165:D166">
    <cfRule type="containsText" dxfId="136" priority="109" operator="containsText" text="ALTERNATE_FE">
      <formula>NOT(ISERROR(SEARCH("ALTERNATE_FE",D165)))</formula>
    </cfRule>
    <cfRule type="cellIs" dxfId="135" priority="110" operator="equal">
      <formula>"Single Band Path"</formula>
    </cfRule>
  </conditionalFormatting>
  <conditionalFormatting sqref="O165:O166">
    <cfRule type="cellIs" dxfId="134" priority="115" operator="equal">
      <formula>"Disable"</formula>
    </cfRule>
    <cfRule type="cellIs" dxfId="133" priority="116" operator="equal">
      <formula>"Enable"</formula>
    </cfRule>
  </conditionalFormatting>
  <conditionalFormatting sqref="R165:T166">
    <cfRule type="containsText" dxfId="132" priority="106" operator="containsText" text="DL">
      <formula>NOT(ISERROR(SEARCH("DL",R165)))</formula>
    </cfRule>
    <cfRule type="containsText" dxfId="131" priority="107" operator="containsText" text="LTE">
      <formula>NOT(ISERROR(SEARCH("LTE",R165)))</formula>
    </cfRule>
    <cfRule type="containsText" dxfId="130" priority="108" operator="containsText" text="UL">
      <formula>NOT(ISERROR(SEARCH("UL",R165)))</formula>
    </cfRule>
  </conditionalFormatting>
  <conditionalFormatting sqref="T165:T166">
    <cfRule type="expression" dxfId="129" priority="105">
      <formula>$BC$5="SW_CAPABILITY_NOT_SUPPORT"</formula>
    </cfRule>
  </conditionalFormatting>
  <conditionalFormatting sqref="N169:N170">
    <cfRule type="cellIs" dxfId="128" priority="83" operator="equal">
      <formula>FALSE</formula>
    </cfRule>
    <cfRule type="cellIs" dxfId="127" priority="86" operator="equal">
      <formula>TRUE</formula>
    </cfRule>
  </conditionalFormatting>
  <conditionalFormatting sqref="P167:P168">
    <cfRule type="cellIs" dxfId="126" priority="98" operator="equal">
      <formula>FALSE</formula>
    </cfRule>
    <cfRule type="cellIs" dxfId="125" priority="99" operator="equal">
      <formula>TRUE</formula>
    </cfRule>
  </conditionalFormatting>
  <conditionalFormatting sqref="J167:J168 F167:F168 D167:D168">
    <cfRule type="containsText" dxfId="124" priority="95" operator="containsText" text="ALTERNATE_FE">
      <formula>NOT(ISERROR(SEARCH("ALTERNATE_FE",D167)))</formula>
    </cfRule>
    <cfRule type="cellIs" dxfId="123" priority="96" operator="equal">
      <formula>"Single Band Path"</formula>
    </cfRule>
  </conditionalFormatting>
  <conditionalFormatting sqref="O167:O168">
    <cfRule type="cellIs" dxfId="122" priority="101" operator="equal">
      <formula>"Disable"</formula>
    </cfRule>
    <cfRule type="cellIs" dxfId="121" priority="102" operator="equal">
      <formula>"Enable"</formula>
    </cfRule>
  </conditionalFormatting>
  <conditionalFormatting sqref="R167:T168">
    <cfRule type="containsText" dxfId="120" priority="92" operator="containsText" text="DL">
      <formula>NOT(ISERROR(SEARCH("DL",R167)))</formula>
    </cfRule>
    <cfRule type="containsText" dxfId="119" priority="93" operator="containsText" text="LTE">
      <formula>NOT(ISERROR(SEARCH("LTE",R167)))</formula>
    </cfRule>
    <cfRule type="containsText" dxfId="118" priority="94" operator="containsText" text="UL">
      <formula>NOT(ISERROR(SEARCH("UL",R167)))</formula>
    </cfRule>
  </conditionalFormatting>
  <conditionalFormatting sqref="T167:T168">
    <cfRule type="expression" dxfId="117" priority="91">
      <formula>$BC$5="SW_CAPABILITY_NOT_SUPPORT"</formula>
    </cfRule>
  </conditionalFormatting>
  <conditionalFormatting sqref="N194:N195">
    <cfRule type="cellIs" dxfId="116" priority="69" operator="equal">
      <formula>FALSE</formula>
    </cfRule>
    <cfRule type="cellIs" dxfId="115" priority="72" operator="equal">
      <formula>TRUE</formula>
    </cfRule>
  </conditionalFormatting>
  <conditionalFormatting sqref="P169:P170">
    <cfRule type="cellIs" dxfId="114" priority="84" operator="equal">
      <formula>FALSE</formula>
    </cfRule>
    <cfRule type="cellIs" dxfId="113" priority="85" operator="equal">
      <formula>TRUE</formula>
    </cfRule>
  </conditionalFormatting>
  <conditionalFormatting sqref="D169:D170 F169:F170 J169:J170">
    <cfRule type="containsText" dxfId="112" priority="81" operator="containsText" text="ALTERNATE_FE">
      <formula>NOT(ISERROR(SEARCH("ALTERNATE_FE",D169)))</formula>
    </cfRule>
    <cfRule type="cellIs" dxfId="111" priority="82" operator="equal">
      <formula>"Single Band Path"</formula>
    </cfRule>
  </conditionalFormatting>
  <conditionalFormatting sqref="O169:O170">
    <cfRule type="cellIs" dxfId="110" priority="87" operator="equal">
      <formula>"Disable"</formula>
    </cfRule>
    <cfRule type="cellIs" dxfId="109" priority="88" operator="equal">
      <formula>"Enable"</formula>
    </cfRule>
  </conditionalFormatting>
  <conditionalFormatting sqref="R169:T170">
    <cfRule type="containsText" dxfId="108" priority="78" operator="containsText" text="DL">
      <formula>NOT(ISERROR(SEARCH("DL",R169)))</formula>
    </cfRule>
    <cfRule type="containsText" dxfId="107" priority="79" operator="containsText" text="LTE">
      <formula>NOT(ISERROR(SEARCH("LTE",R169)))</formula>
    </cfRule>
    <cfRule type="containsText" dxfId="106" priority="80" operator="containsText" text="UL">
      <formula>NOT(ISERROR(SEARCH("UL",R169)))</formula>
    </cfRule>
  </conditionalFormatting>
  <conditionalFormatting sqref="T169:T170">
    <cfRule type="expression" dxfId="105" priority="77">
      <formula>$BC$5="SW_CAPABILITY_NOT_SUPPORT"</formula>
    </cfRule>
  </conditionalFormatting>
  <conditionalFormatting sqref="P194:P195">
    <cfRule type="cellIs" dxfId="104" priority="70" operator="equal">
      <formula>FALSE</formula>
    </cfRule>
    <cfRule type="cellIs" dxfId="103" priority="71" operator="equal">
      <formula>TRUE</formula>
    </cfRule>
  </conditionalFormatting>
  <conditionalFormatting sqref="J194:J195 F194:F195 D194:D195">
    <cfRule type="containsText" dxfId="102" priority="67" operator="containsText" text="ALTERNATE_FE">
      <formula>NOT(ISERROR(SEARCH("ALTERNATE_FE",D194)))</formula>
    </cfRule>
    <cfRule type="cellIs" dxfId="101" priority="68" operator="equal">
      <formula>"Single Band Path"</formula>
    </cfRule>
  </conditionalFormatting>
  <conditionalFormatting sqref="O194:O195">
    <cfRule type="cellIs" dxfId="100" priority="73" operator="equal">
      <formula>"Disable"</formula>
    </cfRule>
    <cfRule type="cellIs" dxfId="99" priority="74" operator="equal">
      <formula>"Enable"</formula>
    </cfRule>
  </conditionalFormatting>
  <conditionalFormatting sqref="R194:T195">
    <cfRule type="containsText" dxfId="98" priority="64" operator="containsText" text="DL">
      <formula>NOT(ISERROR(SEARCH("DL",R194)))</formula>
    </cfRule>
    <cfRule type="containsText" dxfId="97" priority="65" operator="containsText" text="LTE">
      <formula>NOT(ISERROR(SEARCH("LTE",R194)))</formula>
    </cfRule>
    <cfRule type="containsText" dxfId="96" priority="66" operator="containsText" text="UL">
      <formula>NOT(ISERROR(SEARCH("UL",R194)))</formula>
    </cfRule>
  </conditionalFormatting>
  <conditionalFormatting sqref="T194:T195">
    <cfRule type="expression" dxfId="95" priority="63">
      <formula>$BC$5="SW_CAPABILITY_NOT_SUPPORT"</formula>
    </cfRule>
  </conditionalFormatting>
  <conditionalFormatting sqref="N249">
    <cfRule type="cellIs" dxfId="94" priority="55" operator="equal">
      <formula>FALSE</formula>
    </cfRule>
    <cfRule type="cellIs" dxfId="93" priority="58" operator="equal">
      <formula>TRUE</formula>
    </cfRule>
  </conditionalFormatting>
  <conditionalFormatting sqref="P249">
    <cfRule type="cellIs" dxfId="92" priority="56" operator="equal">
      <formula>FALSE</formula>
    </cfRule>
    <cfRule type="cellIs" dxfId="91" priority="57" operator="equal">
      <formula>TRUE</formula>
    </cfRule>
  </conditionalFormatting>
  <conditionalFormatting sqref="O249">
    <cfRule type="cellIs" dxfId="90" priority="59" operator="equal">
      <formula>"Disable"</formula>
    </cfRule>
    <cfRule type="cellIs" dxfId="89" priority="60" operator="equal">
      <formula>"Enable"</formula>
    </cfRule>
  </conditionalFormatting>
  <conditionalFormatting sqref="R249:T249">
    <cfRule type="containsText" dxfId="88" priority="52" operator="containsText" text="DL">
      <formula>NOT(ISERROR(SEARCH("DL",R249)))</formula>
    </cfRule>
    <cfRule type="containsText" dxfId="87" priority="53" operator="containsText" text="LTE">
      <formula>NOT(ISERROR(SEARCH("LTE",R249)))</formula>
    </cfRule>
    <cfRule type="containsText" dxfId="86" priority="54" operator="containsText" text="UL">
      <formula>NOT(ISERROR(SEARCH("UL",R249)))</formula>
    </cfRule>
  </conditionalFormatting>
  <conditionalFormatting sqref="T249">
    <cfRule type="expression" dxfId="85" priority="51">
      <formula>$BC$5="SW_CAPABILITY_NOT_SUPPORT"</formula>
    </cfRule>
  </conditionalFormatting>
  <conditionalFormatting sqref="P273">
    <cfRule type="cellIs" dxfId="84" priority="46" operator="equal">
      <formula>FALSE</formula>
    </cfRule>
    <cfRule type="cellIs" dxfId="83" priority="47" operator="equal">
      <formula>TRUE</formula>
    </cfRule>
  </conditionalFormatting>
  <conditionalFormatting sqref="O273">
    <cfRule type="cellIs" dxfId="82" priority="49" operator="equal">
      <formula>"Disable"</formula>
    </cfRule>
    <cfRule type="cellIs" dxfId="81" priority="50" operator="equal">
      <formula>"Enable"</formula>
    </cfRule>
  </conditionalFormatting>
  <conditionalFormatting sqref="N273">
    <cfRule type="cellIs" dxfId="80" priority="43" operator="equal">
      <formula>FALSE</formula>
    </cfRule>
    <cfRule type="cellIs" dxfId="79" priority="44" operator="equal">
      <formula>TRUE</formula>
    </cfRule>
  </conditionalFormatting>
  <conditionalFormatting sqref="N132:N133">
    <cfRule type="cellIs" dxfId="78" priority="35" operator="equal">
      <formula>FALSE</formula>
    </cfRule>
    <cfRule type="cellIs" dxfId="77" priority="38" operator="equal">
      <formula>TRUE</formula>
    </cfRule>
  </conditionalFormatting>
  <conditionalFormatting sqref="P132:P133">
    <cfRule type="cellIs" dxfId="76" priority="36" operator="equal">
      <formula>FALSE</formula>
    </cfRule>
    <cfRule type="cellIs" dxfId="75" priority="37" operator="equal">
      <formula>TRUE</formula>
    </cfRule>
  </conditionalFormatting>
  <conditionalFormatting sqref="D132:D133 F132:F133 J132:J133">
    <cfRule type="containsText" dxfId="74" priority="33" operator="containsText" text="ALTERNATE_FE">
      <formula>NOT(ISERROR(SEARCH("ALTERNATE_FE",D132)))</formula>
    </cfRule>
    <cfRule type="cellIs" dxfId="73" priority="34" operator="equal">
      <formula>"Single Band Path"</formula>
    </cfRule>
  </conditionalFormatting>
  <conditionalFormatting sqref="O132:O133">
    <cfRule type="cellIs" dxfId="72" priority="39" operator="equal">
      <formula>"Disable"</formula>
    </cfRule>
    <cfRule type="cellIs" dxfId="71" priority="40" operator="equal">
      <formula>"Enable"</formula>
    </cfRule>
  </conditionalFormatting>
  <conditionalFormatting sqref="R132:T133">
    <cfRule type="containsText" dxfId="70" priority="30" operator="containsText" text="DL">
      <formula>NOT(ISERROR(SEARCH("DL",R132)))</formula>
    </cfRule>
    <cfRule type="containsText" dxfId="69" priority="31" operator="containsText" text="LTE">
      <formula>NOT(ISERROR(SEARCH("LTE",R132)))</formula>
    </cfRule>
    <cfRule type="containsText" dxfId="68" priority="32" operator="containsText" text="UL">
      <formula>NOT(ISERROR(SEARCH("UL",R132)))</formula>
    </cfRule>
  </conditionalFormatting>
  <conditionalFormatting sqref="T132:T133">
    <cfRule type="expression" dxfId="67" priority="29">
      <formula>$BC$5="SW_CAPABILITY_NOT_SUPPORT"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1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2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3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78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79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4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5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0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1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1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2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7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8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3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4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89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0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5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6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1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2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1" id="{4B414DFD-6C30-474B-B48A-5024B035F14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2" id="{807F8453-2F5C-4BAF-A882-8B097CA59B4E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0E0FE27-F249-44D9-8062-76C6E13DD8F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32737205-6991-4E35-A760-06C7CC260C7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F9CBB648-BE63-4685-998D-48C87D7FCD5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A4A1B426-D097-4173-97EB-59F99BF60A7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1002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98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DxQMpPneQqK9uRDlAsVmB1WEATeoThLyxPGkOnSQhHb5um3ijxuloGuf6bFkOrSHaRCafSu0wrmlNkbp21wZXw==" saltValue="Zfy/dRolcZrLZeV2ntvY0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1653</v>
      </c>
      <c r="B8" s="168" t="s">
        <v>1654</v>
      </c>
      <c r="C8" s="169" t="s">
        <v>1655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1686</v>
      </c>
      <c r="B11" s="15" t="s">
        <v>1687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1656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LTE_Band29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LTE_Band30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LTE_Band34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LTE_Band38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LTE_Band39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LTE_Band40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LTE_Band41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LTE_Band66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LTE_Band71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1688</v>
      </c>
      <c r="B356" s="397"/>
      <c r="C356" s="397"/>
      <c r="D356" s="397"/>
    </row>
    <row r="357" spans="1:4" ht="90.75" thickBot="1">
      <c r="A357" s="398" t="s">
        <v>1689</v>
      </c>
      <c r="B357" s="398" t="s">
        <v>1690</v>
      </c>
      <c r="C357" s="399" t="s">
        <v>1691</v>
      </c>
      <c r="D357" s="397"/>
    </row>
    <row r="358" spans="1:4">
      <c r="A358" s="400" t="s">
        <v>10</v>
      </c>
      <c r="B358" s="401">
        <v>5</v>
      </c>
      <c r="C358" s="401" t="s">
        <v>1692</v>
      </c>
      <c r="D358" s="402" t="s">
        <v>1693</v>
      </c>
    </row>
    <row r="359" spans="1:4">
      <c r="A359" s="403" t="s">
        <v>98</v>
      </c>
      <c r="B359" s="404">
        <v>4</v>
      </c>
      <c r="C359" s="404" t="s">
        <v>1692</v>
      </c>
      <c r="D359" s="405" t="s">
        <v>1694</v>
      </c>
    </row>
    <row r="360" spans="1:4">
      <c r="A360" s="403" t="s">
        <v>93</v>
      </c>
      <c r="B360" s="404">
        <v>12</v>
      </c>
      <c r="C360" s="404" t="s">
        <v>1692</v>
      </c>
      <c r="D360" s="405" t="s">
        <v>1695</v>
      </c>
    </row>
    <row r="361" spans="1:4">
      <c r="A361" s="403" t="s">
        <v>93</v>
      </c>
      <c r="B361" s="404">
        <v>13</v>
      </c>
      <c r="C361" s="404" t="s">
        <v>1692</v>
      </c>
      <c r="D361" s="405" t="s">
        <v>1696</v>
      </c>
    </row>
    <row r="362" spans="1:4">
      <c r="A362" s="403" t="s">
        <v>93</v>
      </c>
      <c r="B362" s="404">
        <v>14</v>
      </c>
      <c r="C362" s="404" t="s">
        <v>1692</v>
      </c>
      <c r="D362" s="405" t="s">
        <v>1697</v>
      </c>
    </row>
    <row r="363" spans="1:4">
      <c r="A363" s="403" t="s">
        <v>93</v>
      </c>
      <c r="B363" s="404">
        <v>15</v>
      </c>
      <c r="C363" s="404" t="s">
        <v>1692</v>
      </c>
      <c r="D363" s="405" t="s">
        <v>1698</v>
      </c>
    </row>
    <row r="364" spans="1:4">
      <c r="A364" s="403" t="s">
        <v>407</v>
      </c>
      <c r="B364" s="404">
        <v>7</v>
      </c>
      <c r="C364" s="404" t="s">
        <v>1692</v>
      </c>
      <c r="D364" s="405" t="s">
        <v>1699</v>
      </c>
    </row>
    <row r="365" spans="1:4">
      <c r="A365" s="403" t="s">
        <v>414</v>
      </c>
      <c r="B365" s="404">
        <v>21</v>
      </c>
      <c r="C365" s="404" t="s">
        <v>1692</v>
      </c>
      <c r="D365" s="405" t="s">
        <v>1700</v>
      </c>
    </row>
    <row r="366" spans="1:4">
      <c r="A366" s="403" t="s">
        <v>15</v>
      </c>
      <c r="B366" s="404">
        <v>0</v>
      </c>
      <c r="C366" s="404">
        <v>0</v>
      </c>
      <c r="D366" s="405" t="s">
        <v>1701</v>
      </c>
    </row>
    <row r="367" spans="1:4">
      <c r="A367" s="403" t="s">
        <v>15</v>
      </c>
      <c r="B367" s="404">
        <v>0</v>
      </c>
      <c r="C367" s="404">
        <v>0</v>
      </c>
      <c r="D367" s="405" t="s">
        <v>1702</v>
      </c>
    </row>
    <row r="368" spans="1:4">
      <c r="A368" s="403" t="s">
        <v>15</v>
      </c>
      <c r="B368" s="404">
        <v>0</v>
      </c>
      <c r="C368" s="404">
        <v>0</v>
      </c>
      <c r="D368" s="405" t="s">
        <v>1703</v>
      </c>
    </row>
    <row r="369" spans="1:4">
      <c r="A369" s="403" t="s">
        <v>15</v>
      </c>
      <c r="B369" s="404">
        <v>0</v>
      </c>
      <c r="C369" s="404">
        <v>0</v>
      </c>
      <c r="D369" s="405" t="s">
        <v>1704</v>
      </c>
    </row>
    <row r="370" spans="1:4">
      <c r="A370" s="403" t="s">
        <v>15</v>
      </c>
      <c r="B370" s="404">
        <v>0</v>
      </c>
      <c r="C370" s="404">
        <v>0</v>
      </c>
      <c r="D370" s="405" t="s">
        <v>1705</v>
      </c>
    </row>
    <row r="371" spans="1:4">
      <c r="A371" s="403" t="s">
        <v>15</v>
      </c>
      <c r="B371" s="404">
        <v>0</v>
      </c>
      <c r="C371" s="404">
        <v>0</v>
      </c>
      <c r="D371" s="405" t="s">
        <v>1706</v>
      </c>
    </row>
    <row r="372" spans="1:4">
      <c r="A372" s="403" t="s">
        <v>15</v>
      </c>
      <c r="B372" s="404">
        <v>0</v>
      </c>
      <c r="C372" s="404">
        <v>0</v>
      </c>
      <c r="D372" s="405" t="s">
        <v>1707</v>
      </c>
    </row>
    <row r="373" spans="1:4">
      <c r="A373" s="403" t="s">
        <v>15</v>
      </c>
      <c r="B373" s="404">
        <v>0</v>
      </c>
      <c r="C373" s="404">
        <v>0</v>
      </c>
      <c r="D373" s="405" t="s">
        <v>1708</v>
      </c>
    </row>
    <row r="374" spans="1:4">
      <c r="A374" s="403" t="s">
        <v>15</v>
      </c>
      <c r="B374" s="404">
        <v>0</v>
      </c>
      <c r="C374" s="404">
        <v>0</v>
      </c>
      <c r="D374" s="405" t="s">
        <v>1709</v>
      </c>
    </row>
    <row r="375" spans="1:4">
      <c r="A375" s="403" t="s">
        <v>15</v>
      </c>
      <c r="B375" s="404">
        <v>0</v>
      </c>
      <c r="C375" s="404">
        <v>0</v>
      </c>
      <c r="D375" s="405" t="s">
        <v>1710</v>
      </c>
    </row>
    <row r="376" spans="1:4">
      <c r="A376" s="403" t="s">
        <v>15</v>
      </c>
      <c r="B376" s="404">
        <v>0</v>
      </c>
      <c r="C376" s="404">
        <v>0</v>
      </c>
      <c r="D376" s="405" t="s">
        <v>1711</v>
      </c>
    </row>
    <row r="377" spans="1:4">
      <c r="A377" s="403" t="s">
        <v>15</v>
      </c>
      <c r="B377" s="404">
        <v>0</v>
      </c>
      <c r="C377" s="404">
        <v>0</v>
      </c>
      <c r="D377" s="405" t="s">
        <v>1712</v>
      </c>
    </row>
    <row r="378" spans="1:4">
      <c r="A378" s="403" t="s">
        <v>15</v>
      </c>
      <c r="B378" s="404">
        <v>0</v>
      </c>
      <c r="C378" s="404">
        <v>0</v>
      </c>
      <c r="D378" s="405" t="s">
        <v>1713</v>
      </c>
    </row>
    <row r="379" spans="1:4">
      <c r="A379" s="403" t="s">
        <v>15</v>
      </c>
      <c r="B379" s="404">
        <v>0</v>
      </c>
      <c r="C379" s="404">
        <v>0</v>
      </c>
      <c r="D379" s="405" t="s">
        <v>1714</v>
      </c>
    </row>
    <row r="380" spans="1:4">
      <c r="A380" s="403" t="s">
        <v>15</v>
      </c>
      <c r="B380" s="404">
        <v>0</v>
      </c>
      <c r="C380" s="404">
        <v>0</v>
      </c>
      <c r="D380" s="405" t="s">
        <v>1715</v>
      </c>
    </row>
    <row r="381" spans="1:4">
      <c r="A381" s="403" t="s">
        <v>15</v>
      </c>
      <c r="B381" s="404">
        <v>0</v>
      </c>
      <c r="C381" s="404">
        <v>0</v>
      </c>
      <c r="D381" s="405" t="s">
        <v>1716</v>
      </c>
    </row>
    <row r="382" spans="1:4">
      <c r="A382" s="403" t="s">
        <v>15</v>
      </c>
      <c r="B382" s="404">
        <v>0</v>
      </c>
      <c r="C382" s="404">
        <v>0</v>
      </c>
      <c r="D382" s="405" t="s">
        <v>1717</v>
      </c>
    </row>
    <row r="383" spans="1:4">
      <c r="A383" s="403" t="s">
        <v>15</v>
      </c>
      <c r="B383" s="404">
        <v>0</v>
      </c>
      <c r="C383" s="404">
        <v>0</v>
      </c>
      <c r="D383" s="405" t="s">
        <v>1718</v>
      </c>
    </row>
    <row r="384" spans="1:4">
      <c r="A384" s="403" t="s">
        <v>15</v>
      </c>
      <c r="B384" s="404">
        <v>0</v>
      </c>
      <c r="C384" s="404">
        <v>0</v>
      </c>
      <c r="D384" s="405" t="s">
        <v>1719</v>
      </c>
    </row>
    <row r="385" spans="1:4">
      <c r="A385" s="403" t="s">
        <v>15</v>
      </c>
      <c r="B385" s="404">
        <v>0</v>
      </c>
      <c r="C385" s="404">
        <v>0</v>
      </c>
      <c r="D385" s="405" t="s">
        <v>1720</v>
      </c>
    </row>
    <row r="386" spans="1:4">
      <c r="A386" s="403" t="s">
        <v>15</v>
      </c>
      <c r="B386" s="404">
        <v>0</v>
      </c>
      <c r="C386" s="404">
        <v>0</v>
      </c>
      <c r="D386" s="405" t="s">
        <v>1721</v>
      </c>
    </row>
    <row r="387" spans="1:4">
      <c r="A387" s="403" t="s">
        <v>15</v>
      </c>
      <c r="B387" s="404">
        <v>0</v>
      </c>
      <c r="C387" s="404">
        <v>0</v>
      </c>
      <c r="D387" s="405" t="s">
        <v>1722</v>
      </c>
    </row>
    <row r="388" spans="1:4">
      <c r="A388" s="403" t="s">
        <v>15</v>
      </c>
      <c r="B388" s="404">
        <v>0</v>
      </c>
      <c r="C388" s="404">
        <v>0</v>
      </c>
      <c r="D388" s="405" t="s">
        <v>1723</v>
      </c>
    </row>
    <row r="389" spans="1:4">
      <c r="A389" s="403" t="s">
        <v>15</v>
      </c>
      <c r="B389" s="404">
        <v>0</v>
      </c>
      <c r="C389" s="404">
        <v>0</v>
      </c>
      <c r="D389" s="405" t="s">
        <v>1724</v>
      </c>
    </row>
    <row r="390" spans="1:4">
      <c r="A390" s="403" t="s">
        <v>15</v>
      </c>
      <c r="B390" s="404">
        <v>0</v>
      </c>
      <c r="C390" s="404">
        <v>0</v>
      </c>
      <c r="D390" s="405" t="s">
        <v>1725</v>
      </c>
    </row>
    <row r="391" spans="1:4">
      <c r="A391" s="403" t="s">
        <v>15</v>
      </c>
      <c r="B391" s="404">
        <v>0</v>
      </c>
      <c r="C391" s="404">
        <v>0</v>
      </c>
      <c r="D391" s="405" t="s">
        <v>1726</v>
      </c>
    </row>
    <row r="392" spans="1:4">
      <c r="A392" s="403" t="s">
        <v>15</v>
      </c>
      <c r="B392" s="404">
        <v>0</v>
      </c>
      <c r="C392" s="404">
        <v>0</v>
      </c>
      <c r="D392" s="405" t="s">
        <v>1727</v>
      </c>
    </row>
    <row r="393" spans="1:4">
      <c r="A393" s="403" t="s">
        <v>15</v>
      </c>
      <c r="B393" s="404">
        <v>0</v>
      </c>
      <c r="C393" s="404">
        <v>0</v>
      </c>
      <c r="D393" s="405" t="s">
        <v>1728</v>
      </c>
    </row>
    <row r="394" spans="1:4">
      <c r="A394" s="403" t="s">
        <v>15</v>
      </c>
      <c r="B394" s="404">
        <v>0</v>
      </c>
      <c r="C394" s="404">
        <v>0</v>
      </c>
      <c r="D394" s="405" t="s">
        <v>1729</v>
      </c>
    </row>
    <row r="395" spans="1:4">
      <c r="A395" s="403" t="s">
        <v>15</v>
      </c>
      <c r="B395" s="404">
        <v>0</v>
      </c>
      <c r="C395" s="404">
        <v>0</v>
      </c>
      <c r="D395" s="405" t="s">
        <v>1730</v>
      </c>
    </row>
    <row r="396" spans="1:4">
      <c r="A396" s="403" t="s">
        <v>15</v>
      </c>
      <c r="B396" s="404">
        <v>0</v>
      </c>
      <c r="C396" s="404">
        <v>0</v>
      </c>
      <c r="D396" s="405" t="s">
        <v>1731</v>
      </c>
    </row>
    <row r="397" spans="1:4">
      <c r="A397" s="403" t="s">
        <v>15</v>
      </c>
      <c r="B397" s="404">
        <v>0</v>
      </c>
      <c r="C397" s="404">
        <v>0</v>
      </c>
      <c r="D397" s="405" t="s">
        <v>1732</v>
      </c>
    </row>
    <row r="398" spans="1:4">
      <c r="A398" s="403" t="s">
        <v>15</v>
      </c>
      <c r="B398" s="404">
        <v>0</v>
      </c>
      <c r="C398" s="404">
        <v>0</v>
      </c>
      <c r="D398" s="405" t="s">
        <v>1733</v>
      </c>
    </row>
    <row r="399" spans="1:4">
      <c r="A399" s="403" t="s">
        <v>15</v>
      </c>
      <c r="B399" s="404">
        <v>0</v>
      </c>
      <c r="C399" s="404">
        <v>0</v>
      </c>
      <c r="D399" s="405" t="s">
        <v>1734</v>
      </c>
    </row>
    <row r="400" spans="1:4">
      <c r="A400" s="403" t="s">
        <v>15</v>
      </c>
      <c r="B400" s="404">
        <v>0</v>
      </c>
      <c r="C400" s="404">
        <v>0</v>
      </c>
      <c r="D400" s="405" t="s">
        <v>1735</v>
      </c>
    </row>
    <row r="401" spans="1:4">
      <c r="A401" s="403" t="s">
        <v>15</v>
      </c>
      <c r="B401" s="404">
        <v>0</v>
      </c>
      <c r="C401" s="404">
        <v>0</v>
      </c>
      <c r="D401" s="405" t="s">
        <v>1736</v>
      </c>
    </row>
    <row r="402" spans="1:4">
      <c r="A402" s="403" t="s">
        <v>15</v>
      </c>
      <c r="B402" s="404">
        <v>0</v>
      </c>
      <c r="C402" s="404">
        <v>0</v>
      </c>
      <c r="D402" s="405" t="s">
        <v>1737</v>
      </c>
    </row>
    <row r="403" spans="1:4">
      <c r="A403" s="403" t="s">
        <v>15</v>
      </c>
      <c r="B403" s="404">
        <v>0</v>
      </c>
      <c r="C403" s="404">
        <v>0</v>
      </c>
      <c r="D403" s="405" t="s">
        <v>1738</v>
      </c>
    </row>
    <row r="404" spans="1:4">
      <c r="A404" s="403" t="s">
        <v>15</v>
      </c>
      <c r="B404" s="404">
        <v>0</v>
      </c>
      <c r="C404" s="404">
        <v>0</v>
      </c>
      <c r="D404" s="405" t="s">
        <v>1739</v>
      </c>
    </row>
    <row r="405" spans="1:4">
      <c r="A405" s="403" t="s">
        <v>15</v>
      </c>
      <c r="B405" s="404">
        <v>0</v>
      </c>
      <c r="C405" s="404">
        <v>0</v>
      </c>
      <c r="D405" s="405" t="s">
        <v>1740</v>
      </c>
    </row>
    <row r="406" spans="1:4">
      <c r="A406" s="403" t="s">
        <v>15</v>
      </c>
      <c r="B406" s="404">
        <v>0</v>
      </c>
      <c r="C406" s="404">
        <v>0</v>
      </c>
      <c r="D406" s="405" t="s">
        <v>1741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1742</v>
      </c>
    </row>
  </sheetData>
  <sheetProtection algorithmName="SHA-512" hashValue="irmP3sOuffUoil4gAOScjQJB4TwmIQUqybNheorh6p+VYalUwGVYNy1fyODIfVGLvNsAawZbxyqgp6QDNfNFog==" saltValue="P6xA5K13XQxGicgFyr1mx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1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THBFSS7ESAzc4rM3gIO8ot8hWkO+EFHmCkQReOfCn5zNcB0sCdvMRl4Y3ARKnUQiKFexS+rhSZLlofr1VoWM9Q==" saltValue="T5DDd1aAfJf3DX4MW6nN8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54u9XBNm2JclRRiimMpYcNOtHxTiLscsgzIQUZ8FTIA84U7HFh/KWqxkUwe3I3FTB+f0O6LaQpXLRcc08WTKGw==" saltValue="K/9ea4pg2SyxsjnyU4sbrA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LTE_Band29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LTE_Band30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LTE_Band34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LTE_Band38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LTE_Band39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LTE_Band40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LTE_Band41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LTE_Band66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LTE_Band71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wirP0Hf5MaBOeKB2p+7mBijRKUz/RsbTbR10aYgjB8kRUhl0uHdWYDMtCSqvmvDb9yI6vTNs9iVT3qtDBcQEdw==" saltValue="NiLIIlixB6XAgGKzRk7v1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CH2vIayOzuLbB3TasNqvr/fiERh2AgVCasAifsB2RfL2dSbo+yfU1XiipNTrDQ+4Vacd0ofjk4si8aiAGMzmWw==" saltValue="2g18ygpujCTpLIF9Nrz57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Z2bIfwCnpwyo1JuQLoGqIeWO4GZqNl71MCeP9D3/yhNP7U+BOoQgJBhpQZOzJigTADJUmqnDCzILZIovBApqDw==" saltValue="RFrSTRr4NnLaxMzFB8z+5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3" sqref="B30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1743</v>
      </c>
      <c r="B3" s="389" t="s">
        <v>1747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1672</v>
      </c>
    </row>
    <row r="61" spans="1:2">
      <c r="A61" s="389" t="s">
        <v>863</v>
      </c>
      <c r="B61" s="389" t="s">
        <v>1672</v>
      </c>
    </row>
    <row r="62" spans="1:2">
      <c r="A62" s="389" t="s">
        <v>1674</v>
      </c>
      <c r="B62" s="389" t="s">
        <v>1672</v>
      </c>
    </row>
    <row r="63" spans="1:2">
      <c r="A63" s="389" t="s">
        <v>1675</v>
      </c>
      <c r="B63" s="389" t="s">
        <v>1672</v>
      </c>
    </row>
    <row r="64" spans="1:2">
      <c r="A64" s="389" t="s">
        <v>1676</v>
      </c>
      <c r="B64" s="389" t="s">
        <v>1672</v>
      </c>
    </row>
    <row r="65" spans="1:3">
      <c r="A65" s="389" t="s">
        <v>886</v>
      </c>
      <c r="B65" s="389" t="s">
        <v>1672</v>
      </c>
    </row>
    <row r="66" spans="1:3">
      <c r="A66" s="389" t="s">
        <v>1512</v>
      </c>
      <c r="B66" s="389" t="s">
        <v>1672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1677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1678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1677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1678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aBRjFpuB1LAJiZWT+ttcTc45yMJhBjFcGSuiqPpeh/74hJL65Zrflnl3aw2fZN0nEG8j4U43j2xtP9DA+sXB7Q==" saltValue="JfcK+1pt8l8YOamISOHpR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1743</v>
      </c>
      <c r="C4" s="409">
        <v>43136</v>
      </c>
      <c r="D4" s="410" t="s">
        <v>1744</v>
      </c>
      <c r="E4" s="410" t="s">
        <v>1745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1683</v>
      </c>
      <c r="C5" s="393">
        <v>43088</v>
      </c>
      <c r="D5" s="160" t="s">
        <v>1670</v>
      </c>
      <c r="E5" s="160" t="s">
        <v>1684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1682</v>
      </c>
      <c r="C6" s="395">
        <v>43077</v>
      </c>
      <c r="D6" s="159" t="s">
        <v>1648</v>
      </c>
      <c r="E6" s="394" t="s">
        <v>1681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1673</v>
      </c>
      <c r="C7" s="393">
        <v>43068</v>
      </c>
      <c r="D7" s="394" t="s">
        <v>1679</v>
      </c>
      <c r="E7" s="394" t="s">
        <v>1680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1668</v>
      </c>
      <c r="C8" s="392" t="s">
        <v>1669</v>
      </c>
      <c r="D8" s="160" t="s">
        <v>1670</v>
      </c>
      <c r="E8" s="160" t="s">
        <v>1671</v>
      </c>
    </row>
    <row r="9" spans="1:23">
      <c r="B9" s="449" t="s">
        <v>1640</v>
      </c>
      <c r="C9" s="452" t="s">
        <v>1650</v>
      </c>
      <c r="D9" s="159" t="s">
        <v>1641</v>
      </c>
      <c r="E9" s="159" t="s">
        <v>1652</v>
      </c>
    </row>
    <row r="10" spans="1:23">
      <c r="B10" s="450"/>
      <c r="C10" s="453"/>
      <c r="D10" s="159" t="s">
        <v>1647</v>
      </c>
      <c r="E10" s="159" t="s">
        <v>1649</v>
      </c>
    </row>
    <row r="11" spans="1:23">
      <c r="B11" s="450"/>
      <c r="C11" s="453"/>
      <c r="D11" s="159" t="s">
        <v>1648</v>
      </c>
      <c r="E11" s="159" t="s">
        <v>1649</v>
      </c>
    </row>
    <row r="12" spans="1:23">
      <c r="B12" s="450"/>
      <c r="C12" s="453"/>
      <c r="D12" s="159" t="s">
        <v>1642</v>
      </c>
      <c r="E12" s="159" t="s">
        <v>1646</v>
      </c>
    </row>
    <row r="13" spans="1:23">
      <c r="B13" s="450"/>
      <c r="C13" s="453"/>
      <c r="D13" s="159" t="s">
        <v>1643</v>
      </c>
      <c r="E13" s="159" t="s">
        <v>1646</v>
      </c>
    </row>
    <row r="14" spans="1:23">
      <c r="B14" s="450"/>
      <c r="C14" s="453"/>
      <c r="D14" s="159" t="s">
        <v>1644</v>
      </c>
      <c r="E14" s="159" t="s">
        <v>1646</v>
      </c>
    </row>
    <row r="15" spans="1:23">
      <c r="B15" s="451"/>
      <c r="C15" s="454"/>
      <c r="D15" s="159" t="s">
        <v>1645</v>
      </c>
      <c r="E15" s="159" t="s">
        <v>1646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o3pjzTInhIA/4hLh3Gt4LfSktV3nsXEdnwLG9PWDH4d/wIUBoucNLOLXd217XyLL1Ag+0vLj4+uTK8Yj69584A==" saltValue="IE6w/RFkaoKgJsqWqBa8Xg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